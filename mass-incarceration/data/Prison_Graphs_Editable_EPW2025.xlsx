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ztaneja/Library/CloudStorage/OneDrive-Personal/Desktop/"/>
    </mc:Choice>
  </mc:AlternateContent>
  <xr:revisionPtr revIDLastSave="0" documentId="13_ncr:1_{AE092853-E1BE-534D-8411-ADB54D377430}" xr6:coauthVersionLast="47" xr6:coauthVersionMax="47" xr10:uidLastSave="{00000000-0000-0000-0000-000000000000}"/>
  <bookViews>
    <workbookView xWindow="1960" yWindow="760" windowWidth="27440" windowHeight="16940" tabRatio="794" activeTab="5" xr2:uid="{4F37258F-E42B-486C-84D8-E2CA9B7A50DD}"/>
  </bookViews>
  <sheets>
    <sheet name="Figure 2" sheetId="2" r:id="rId1"/>
    <sheet name="Figure 3" sheetId="4" r:id="rId2"/>
    <sheet name="Figure 4" sheetId="5" r:id="rId3"/>
    <sheet name="Figure 5" sheetId="6" r:id="rId4"/>
    <sheet name="Figure 6" sheetId="7" r:id="rId5"/>
    <sheet name="Figure 7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" i="2"/>
</calcChain>
</file>

<file path=xl/sharedStrings.xml><?xml version="1.0" encoding="utf-8"?>
<sst xmlns="http://schemas.openxmlformats.org/spreadsheetml/2006/main" count="73" uniqueCount="41">
  <si>
    <t>Black</t>
  </si>
  <si>
    <t>Hispanic</t>
  </si>
  <si>
    <t>White</t>
  </si>
  <si>
    <t>Male</t>
  </si>
  <si>
    <t>Female</t>
  </si>
  <si>
    <t>College</t>
  </si>
  <si>
    <t>High School Dropout</t>
  </si>
  <si>
    <t>Middle School</t>
  </si>
  <si>
    <t>Education &amp; Race</t>
  </si>
  <si>
    <t>Gender &amp; Race</t>
  </si>
  <si>
    <t>Not in Jail</t>
  </si>
  <si>
    <t>In Jail</t>
  </si>
  <si>
    <t>Average Family Income / Year</t>
  </si>
  <si>
    <t>Jurisdiction</t>
  </si>
  <si>
    <t>U.S. total</t>
  </si>
  <si>
    <t>rog of popn</t>
  </si>
  <si>
    <t>rog of incarceration  rate</t>
  </si>
  <si>
    <t>Year</t>
  </si>
  <si>
    <t>Age group</t>
  </si>
  <si>
    <t>Total/a</t>
  </si>
  <si>
    <t>All male/a,b</t>
  </si>
  <si>
    <t>All female/a,b</t>
  </si>
  <si>
    <t>18–19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</si>
  <si>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</si>
  <si>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</si>
  <si>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</si>
  <si>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</si>
  <si>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</si>
  <si>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</si>
  <si>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</si>
  <si>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</si>
  <si>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</si>
  <si>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or older</t>
  </si>
  <si>
    <t>Total</t>
  </si>
  <si>
    <t>White M/b</t>
  </si>
  <si>
    <t>Black M/b</t>
  </si>
  <si>
    <t>Hispanic M</t>
  </si>
  <si>
    <t>White F/b</t>
  </si>
  <si>
    <t>Black F/b</t>
  </si>
  <si>
    <t>Hispanic F</t>
  </si>
  <si>
    <t>Working on locating data - will share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</si>
</sst>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0" fontId="0" fillId="0" borderId="0" xfId="0" applyNumberFormat="1"/>
    <xf numFmtId="0" fontId="2" fillId="0" borderId="0" xfId="1" applyNumberFormat="1" applyFont="1" applyFill="1" applyBorder="1"/>
    <xf numFmtId="0" fontId="2" fillId="0" borderId="0" xfId="0" applyFont="1"/>
    <xf numFmtId="10" fontId="0" fillId="0" borderId="0" xfId="1" applyNumberFormat="1" applyFont="1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  <xf numFmtId="0" fontId="2" fillId="0" borderId="1" xfId="0" applyFont="1" applyBorder="1"/>
    <xf numFmtId="164" fontId="0" fillId="0" borderId="0" xfId="1" applyNumberFormat="1" applyFont="1"/>
    <xf numFmtId="164" fontId="0" fillId="0" borderId="0" xfId="0" applyNumberFormat="1"/>
    <xf numFmtId="0" fontId="2" fillId="2" borderId="0" xfId="0" applyFont="1" applyFill="1"/>
    <xf numFmtId="164" fontId="0" fillId="2" borderId="0" xfId="1" applyNumberFormat="1" applyFont="1" applyFill="1"/>
    <xf numFmtId="0" fontId="0" fillId="2" borderId="0" xfId="0" applyFill="1"/>
    <xf numFmtId="49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0" fontId="3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incarceration rate</c:v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 2'!$A$4:$A$44</c:f>
              <c:numCache>
                <c:formatCode>General</c:formatCode>
                <c:ptCount val="41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</c:numCache>
            </c:numRef>
          </c:cat>
          <c:val>
            <c:numRef>
              <c:f>'Figure 2'!$B$4:$B$44</c:f>
              <c:numCache>
                <c:formatCode>General</c:formatCode>
                <c:ptCount val="41"/>
                <c:pt idx="0">
                  <c:v>133.07</c:v>
                </c:pt>
                <c:pt idx="1">
                  <c:v>138.31</c:v>
                </c:pt>
                <c:pt idx="2">
                  <c:v>153.34</c:v>
                </c:pt>
                <c:pt idx="3">
                  <c:v>169.89</c:v>
                </c:pt>
                <c:pt idx="4">
                  <c:v>178.55</c:v>
                </c:pt>
                <c:pt idx="5">
                  <c:v>187.14</c:v>
                </c:pt>
                <c:pt idx="6">
                  <c:v>200.98</c:v>
                </c:pt>
                <c:pt idx="7">
                  <c:v>216.39</c:v>
                </c:pt>
                <c:pt idx="8">
                  <c:v>230.35</c:v>
                </c:pt>
                <c:pt idx="9">
                  <c:v>245.71</c:v>
                </c:pt>
                <c:pt idx="10">
                  <c:v>274.39999999999998</c:v>
                </c:pt>
                <c:pt idx="11">
                  <c:v>295.14</c:v>
                </c:pt>
                <c:pt idx="12">
                  <c:v>311.33999999999997</c:v>
                </c:pt>
                <c:pt idx="13">
                  <c:v>329.91</c:v>
                </c:pt>
                <c:pt idx="14">
                  <c:v>359.69</c:v>
                </c:pt>
                <c:pt idx="15">
                  <c:v>388.62</c:v>
                </c:pt>
                <c:pt idx="16">
                  <c:v>410.9</c:v>
                </c:pt>
                <c:pt idx="17">
                  <c:v>426.79</c:v>
                </c:pt>
                <c:pt idx="18">
                  <c:v>443.8</c:v>
                </c:pt>
                <c:pt idx="19">
                  <c:v>463</c:v>
                </c:pt>
                <c:pt idx="20">
                  <c:v>475.9</c:v>
                </c:pt>
                <c:pt idx="21">
                  <c:v>470.26</c:v>
                </c:pt>
                <c:pt idx="22">
                  <c:v>469.55</c:v>
                </c:pt>
                <c:pt idx="23">
                  <c:v>477.35</c:v>
                </c:pt>
                <c:pt idx="24">
                  <c:v>482.67</c:v>
                </c:pt>
                <c:pt idx="25">
                  <c:v>486.88</c:v>
                </c:pt>
                <c:pt idx="26">
                  <c:v>492.19</c:v>
                </c:pt>
                <c:pt idx="27">
                  <c:v>501.24</c:v>
                </c:pt>
                <c:pt idx="28">
                  <c:v>505.74</c:v>
                </c:pt>
                <c:pt idx="29">
                  <c:v>506.14</c:v>
                </c:pt>
                <c:pt idx="30">
                  <c:v>503.75</c:v>
                </c:pt>
                <c:pt idx="31">
                  <c:v>500</c:v>
                </c:pt>
                <c:pt idx="32">
                  <c:v>491.93194703668263</c:v>
                </c:pt>
                <c:pt idx="33">
                  <c:v>479.71984077179798</c:v>
                </c:pt>
                <c:pt idx="34">
                  <c:v>477.37160696682702</c:v>
                </c:pt>
                <c:pt idx="35">
                  <c:v>470.75630920142299</c:v>
                </c:pt>
                <c:pt idx="36">
                  <c:v>458.55635844213498</c:v>
                </c:pt>
                <c:pt idx="37">
                  <c:v>449.68940740649901</c:v>
                </c:pt>
                <c:pt idx="38">
                  <c:v>441.38477222918999</c:v>
                </c:pt>
                <c:pt idx="39">
                  <c:v>431.51056823686417</c:v>
                </c:pt>
                <c:pt idx="40">
                  <c:v>419.41046916772933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D5-164B-8CEE-576D40C0D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946271"/>
        <c:axId val="656310783"/>
      </c:lineChart>
      <c:lineChart>
        <c:grouping val="standard"/>
        <c:varyColors val="0"/>
        <c:ser>
          <c:idx val="1"/>
          <c:order val="1"/>
          <c:tx>
            <c:v>Change in incarceration rate (%)</c:v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'Figure 2'!$C$4:$C$44</c:f>
              <c:numCache>
                <c:formatCode>General</c:formatCode>
                <c:ptCount val="41"/>
                <c:pt idx="0">
                  <c:v>1.7276966592768117</c:v>
                </c:pt>
                <c:pt idx="1">
                  <c:v>3.9377771097918401</c:v>
                </c:pt>
                <c:pt idx="2">
                  <c:v>10.86689321090304</c:v>
                </c:pt>
                <c:pt idx="3">
                  <c:v>10.793008999608711</c:v>
                </c:pt>
                <c:pt idx="4">
                  <c:v>5.0974159750426962</c:v>
                </c:pt>
                <c:pt idx="5">
                  <c:v>4.8109773172780645</c:v>
                </c:pt>
                <c:pt idx="6">
                  <c:v>7.3955327562252871</c:v>
                </c:pt>
                <c:pt idx="7">
                  <c:v>7.667429594984565</c:v>
                </c:pt>
                <c:pt idx="8">
                  <c:v>6.4513147557650585</c:v>
                </c:pt>
                <c:pt idx="9">
                  <c:v>6.6681137399609458</c:v>
                </c:pt>
                <c:pt idx="10">
                  <c:v>11.676366448251985</c:v>
                </c:pt>
                <c:pt idx="11">
                  <c:v>7.5583090379008677</c:v>
                </c:pt>
                <c:pt idx="12">
                  <c:v>5.4889205122992335</c:v>
                </c:pt>
                <c:pt idx="13">
                  <c:v>5.9645403738678215</c:v>
                </c:pt>
                <c:pt idx="14">
                  <c:v>9.0267042526749552</c:v>
                </c:pt>
                <c:pt idx="15">
                  <c:v>8.0430370596902954</c:v>
                </c:pt>
                <c:pt idx="16">
                  <c:v>5.7331068910503769</c:v>
                </c:pt>
                <c:pt idx="17">
                  <c:v>3.8671209540034113</c:v>
                </c:pt>
                <c:pt idx="18">
                  <c:v>3.9855666721338334</c:v>
                </c:pt>
                <c:pt idx="19">
                  <c:v>4.326273095989186</c:v>
                </c:pt>
                <c:pt idx="20">
                  <c:v>2.7861771058315332</c:v>
                </c:pt>
                <c:pt idx="21">
                  <c:v>-1.1851229249842388</c:v>
                </c:pt>
                <c:pt idx="22">
                  <c:v>-0.15098030876535828</c:v>
                </c:pt>
                <c:pt idx="23">
                  <c:v>1.661164945160265</c:v>
                </c:pt>
                <c:pt idx="24">
                  <c:v>1.1144862260396016</c:v>
                </c:pt>
                <c:pt idx="25">
                  <c:v>0.87223154536224534</c:v>
                </c:pt>
                <c:pt idx="26">
                  <c:v>1.0906178113703646</c:v>
                </c:pt>
                <c:pt idx="27">
                  <c:v>1.8387208191958493</c:v>
                </c:pt>
                <c:pt idx="28">
                  <c:v>0.89777352166626745</c:v>
                </c:pt>
                <c:pt idx="29">
                  <c:v>7.9092023569415915E-2</c:v>
                </c:pt>
                <c:pt idx="30">
                  <c:v>-0.4722013672106451</c:v>
                </c:pt>
                <c:pt idx="31">
                  <c:v>-0.74441687344912744</c:v>
                </c:pt>
                <c:pt idx="32">
                  <c:v>-1.6136105926634725</c:v>
                </c:pt>
                <c:pt idx="33">
                  <c:v>-2.482478793753562</c:v>
                </c:pt>
                <c:pt idx="34">
                  <c:v>-0.48950108071265097</c:v>
                </c:pt>
                <c:pt idx="35">
                  <c:v>-1.3857752888649988</c:v>
                </c:pt>
                <c:pt idx="36">
                  <c:v>-2.591563941008812</c:v>
                </c:pt>
                <c:pt idx="37">
                  <c:v>-1.9336665760692706</c:v>
                </c:pt>
                <c:pt idx="38">
                  <c:v>-1.8467491207330156</c:v>
                </c:pt>
                <c:pt idx="39">
                  <c:v>-2.2370966588758145</c:v>
                </c:pt>
                <c:pt idx="40">
                  <c:v>-2.8041257757777216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D5-164B-8CEE-576D40C0D911}"/>
            </c:ext>
          </c:extLst>
        </c:ser>
        <c:ser>
          <c:idx val="2"/>
          <c:order val="2"/>
          <c:tx>
            <c:v>Rog of Population</c:v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'Figure 2'!$D$4:$D$44</c:f>
              <c:numCache>
                <c:formatCode>General</c:formatCode>
                <c:ptCount val="41"/>
                <c:pt idx="0">
                  <c:v>1.0875793376767806</c:v>
                </c:pt>
                <c:pt idx="1">
                  <c:v>1.0365775329048255</c:v>
                </c:pt>
                <c:pt idx="2">
                  <c:v>1.0194742830289316</c:v>
                </c:pt>
                <c:pt idx="3">
                  <c:v>0.96300595497769148</c:v>
                </c:pt>
                <c:pt idx="4">
                  <c:v>0.93525401504963579</c:v>
                </c:pt>
                <c:pt idx="5">
                  <c:v>0.88736942697831278</c:v>
                </c:pt>
                <c:pt idx="6">
                  <c:v>0.88129051396304003</c:v>
                </c:pt>
                <c:pt idx="7">
                  <c:v>0.9162491560407604</c:v>
                </c:pt>
                <c:pt idx="8">
                  <c:v>0.90255906729421742</c:v>
                </c:pt>
                <c:pt idx="9">
                  <c:v>0.90960181728376721</c:v>
                </c:pt>
                <c:pt idx="10">
                  <c:v>0.92119013282980777</c:v>
                </c:pt>
                <c:pt idx="11">
                  <c:v>1.2231050721641434</c:v>
                </c:pt>
                <c:pt idx="12">
                  <c:v>1.0044768106169943</c:v>
                </c:pt>
                <c:pt idx="13">
                  <c:v>1.4229035268471746</c:v>
                </c:pt>
                <c:pt idx="14">
                  <c:v>1.3919524435258124</c:v>
                </c:pt>
                <c:pt idx="15">
                  <c:v>1.2660572027825001</c:v>
                </c:pt>
                <c:pt idx="16">
                  <c:v>1.205676919995291</c:v>
                </c:pt>
                <c:pt idx="17">
                  <c:v>1.1812173495053591</c:v>
                </c:pt>
                <c:pt idx="18">
                  <c:v>1.1995283188508177</c:v>
                </c:pt>
                <c:pt idx="19">
                  <c:v>1.2066474145691064</c:v>
                </c:pt>
                <c:pt idx="20">
                  <c:v>1.1547056392550825</c:v>
                </c:pt>
                <c:pt idx="21">
                  <c:v>1.1503280135137572</c:v>
                </c:pt>
                <c:pt idx="22">
                  <c:v>1.0115205505255576</c:v>
                </c:pt>
                <c:pt idx="23">
                  <c:v>0.96323044844603967</c:v>
                </c:pt>
                <c:pt idx="24">
                  <c:v>0.89749048570437751</c:v>
                </c:pt>
                <c:pt idx="25">
                  <c:v>0.89662592759134352</c:v>
                </c:pt>
                <c:pt idx="26">
                  <c:v>0.9278681135306055</c:v>
                </c:pt>
                <c:pt idx="27">
                  <c:v>0.94754487780011054</c:v>
                </c:pt>
                <c:pt idx="28">
                  <c:v>0.96222286108025301</c:v>
                </c:pt>
                <c:pt idx="29">
                  <c:v>0.95295998005000548</c:v>
                </c:pt>
                <c:pt idx="30">
                  <c:v>0.9152637701389521</c:v>
                </c:pt>
                <c:pt idx="31">
                  <c:v>0.85668236998719394</c:v>
                </c:pt>
                <c:pt idx="32">
                  <c:v>0.81338561950350385</c:v>
                </c:pt>
                <c:pt idx="33">
                  <c:v>0.7304462190775185</c:v>
                </c:pt>
                <c:pt idx="34">
                  <c:v>0.72530347329959888</c:v>
                </c:pt>
                <c:pt idx="35">
                  <c:v>0.70675413254517316</c:v>
                </c:pt>
                <c:pt idx="36">
                  <c:v>0.7469701278663976</c:v>
                </c:pt>
                <c:pt idx="37">
                  <c:v>0.71555393357909391</c:v>
                </c:pt>
                <c:pt idx="38">
                  <c:v>0.69264215949780272</c:v>
                </c:pt>
                <c:pt idx="39">
                  <c:v>0.57652847709943611</c:v>
                </c:pt>
                <c:pt idx="40">
                  <c:v>0.492001297266631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D5-164B-8CEE-576D40C0D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711231"/>
        <c:axId val="2137317743"/>
      </c:lineChart>
      <c:catAx>
        <c:axId val="206894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56310783"/>
        <c:crosses val="autoZero"/>
        <c:auto val="1"/>
        <c:lblAlgn val="ctr"/>
        <c:lblOffset val="100"/>
        <c:noMultiLvlLbl val="0"/>
      </c:catAx>
      <c:valAx>
        <c:axId val="6563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Incarcerated</a:t>
                </a:r>
                <a:r>
                  <a:rPr lang="en-IN" baseline="0"/>
                  <a:t> per 100,000 individuals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8946271"/>
        <c:crosses val="autoZero"/>
        <c:crossBetween val="between"/>
      </c:valAx>
      <c:valAx>
        <c:axId val="21373177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Rate of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8711231"/>
        <c:crosses val="max"/>
        <c:crossBetween val="between"/>
      </c:valAx>
      <c:catAx>
        <c:axId val="558711231"/>
        <c:scaling>
          <c:orientation val="minMax"/>
        </c:scaling>
        <c:delete val="1"/>
        <c:axPos val="b"/>
        <c:majorTickMark val="out"/>
        <c:minorTickMark val="none"/>
        <c:tickLblPos val="nextTo"/>
        <c:crossAx val="2137317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Total</c:v>
          </c:tx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'Figure 3'!$B$27:$B$37</c:f>
              <c:numCache>
                <c:formatCode>0</c:formatCode>
                <c:ptCount val="11"/>
                <c:pt idx="0" formatCode="0.0">
                  <c:v>18.5</c:v>
                </c:pt>
                <c:pt idx="1">
                  <c:v>22</c:v>
                </c:pt>
                <c:pt idx="2">
                  <c:v>27</c:v>
                </c:pt>
                <c:pt idx="3">
                  <c:v>32</c:v>
                </c:pt>
                <c:pt idx="4">
                  <c:v>37</c:v>
                </c:pt>
                <c:pt idx="5">
                  <c:v>42</c:v>
                </c:pt>
                <c:pt idx="6">
                  <c:v>47</c:v>
                </c:pt>
                <c:pt idx="7">
                  <c:v>54</c:v>
                </c:pt>
                <c:pt idx="8">
                  <c:v>57</c:v>
                </c:pt>
                <c:pt idx="9">
                  <c:v>62</c:v>
                </c:pt>
                <c:pt idx="10">
                  <c:v>67</c:v>
                </c:pt>
              </c:numCache>
            </c:numRef>
          </c:xVal>
          <c:yVal>
            <c:numRef>
              <c:f>'Figure 3'!$D$27:$D$37</c:f>
              <c:numCache>
                <c:formatCode>0.000%</c:formatCode>
                <c:ptCount val="11"/>
                <c:pt idx="0">
                  <c:v>2.0100000000000001E-3</c:v>
                </c:pt>
                <c:pt idx="1">
                  <c:v>9.4900000000000002E-3</c:v>
                </c:pt>
                <c:pt idx="2">
                  <c:v>1.6330000000000001E-2</c:v>
                </c:pt>
                <c:pt idx="3">
                  <c:v>1.7760000000000001E-2</c:v>
                </c:pt>
                <c:pt idx="4">
                  <c:v>1.8290000000000001E-2</c:v>
                </c:pt>
                <c:pt idx="5">
                  <c:v>1.5900000000000001E-2</c:v>
                </c:pt>
                <c:pt idx="6">
                  <c:v>1.299E-2</c:v>
                </c:pt>
                <c:pt idx="7">
                  <c:v>1.0460000000000001E-2</c:v>
                </c:pt>
                <c:pt idx="8">
                  <c:v>7.7400000000000004E-3</c:v>
                </c:pt>
                <c:pt idx="9">
                  <c:v>4.8300000000000001E-3</c:v>
                </c:pt>
                <c:pt idx="10">
                  <c:v>1.75E-3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60-2440-812E-8AB768529040}"/>
            </c:ext>
          </c:extLst>
        </c:ser>
        <c:ser>
          <c:idx val="1"/>
          <c:order val="1"/>
          <c:tx>
            <c:v>Black</c:v>
          </c:tx>
          <c:spPr>
            <a:ln w="19050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</a:ln>
              <a:effectLst/>
            </c:spPr>
          </c:marker>
          <c:xVal>
            <c:numRef>
              <c:f>'Figure 3'!$B$27:$B$37</c:f>
              <c:numCache>
                <c:formatCode>0</c:formatCode>
                <c:ptCount val="11"/>
                <c:pt idx="0" formatCode="0.0">
                  <c:v>18.5</c:v>
                </c:pt>
                <c:pt idx="1">
                  <c:v>22</c:v>
                </c:pt>
                <c:pt idx="2">
                  <c:v>27</c:v>
                </c:pt>
                <c:pt idx="3">
                  <c:v>32</c:v>
                </c:pt>
                <c:pt idx="4">
                  <c:v>37</c:v>
                </c:pt>
                <c:pt idx="5">
                  <c:v>42</c:v>
                </c:pt>
                <c:pt idx="6">
                  <c:v>47</c:v>
                </c:pt>
                <c:pt idx="7">
                  <c:v>54</c:v>
                </c:pt>
                <c:pt idx="8">
                  <c:v>57</c:v>
                </c:pt>
                <c:pt idx="9">
                  <c:v>62</c:v>
                </c:pt>
                <c:pt idx="10">
                  <c:v>67</c:v>
                </c:pt>
              </c:numCache>
            </c:numRef>
          </c:xVal>
          <c:yVal>
            <c:numRef>
              <c:f>'Figure 3'!$F$27:$F$37</c:f>
              <c:numCache>
                <c:formatCode>0.000%</c:formatCode>
                <c:ptCount val="11"/>
                <c:pt idx="0">
                  <c:v>7.1999999999999998E-3</c:v>
                </c:pt>
                <c:pt idx="1">
                  <c:v>2.7720000000000002E-2</c:v>
                </c:pt>
                <c:pt idx="2">
                  <c:v>4.1579999999999999E-2</c:v>
                </c:pt>
                <c:pt idx="3">
                  <c:v>4.496E-2</c:v>
                </c:pt>
                <c:pt idx="4">
                  <c:v>4.8320000000000002E-2</c:v>
                </c:pt>
                <c:pt idx="5">
                  <c:v>4.3339999999999997E-2</c:v>
                </c:pt>
                <c:pt idx="6">
                  <c:v>3.5529999999999999E-2</c:v>
                </c:pt>
                <c:pt idx="7">
                  <c:v>2.9700000000000001E-2</c:v>
                </c:pt>
                <c:pt idx="8">
                  <c:v>2.2270000000000002E-2</c:v>
                </c:pt>
                <c:pt idx="9">
                  <c:v>1.404E-2</c:v>
                </c:pt>
                <c:pt idx="10">
                  <c:v>4.8500000000000001E-3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60-2440-812E-8AB768529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647279"/>
        <c:axId val="590963183"/>
      </c:scatterChart>
      <c:valAx>
        <c:axId val="560647279"/>
        <c:scaling>
          <c:orientation val="minMax"/>
          <c:max val="70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963183"/>
        <c:crosses val="autoZero"/>
        <c:crossBetween val="midCat"/>
      </c:valAx>
      <c:valAx>
        <c:axId val="5909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47279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5'!$C$2</c:f>
              <c:strCache>
                <c:ptCount val="1"/>
                <c:pt idx="0">
                  <c:v>1980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5'!$A$3:$B$8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Black</c:v>
                  </c:pt>
                  <c:pt idx="2">
                    <c:v>Hispanic</c:v>
                  </c:pt>
                  <c:pt idx="4">
                    <c:v>White</c:v>
                  </c:pt>
                </c:lvl>
              </c:multiLvlStrCache>
            </c:multiLvlStrRef>
          </c:cat>
          <c:val>
            <c:numRef>
              <c:f>'Figure 5'!$C$3:$C$8</c:f>
              <c:numCache>
                <c:formatCode>General</c:formatCode>
                <c:ptCount val="6"/>
                <c:pt idx="0" formatCode="0.00%">
                  <c:v>6.9500000000000006E-2</c:v>
                </c:pt>
                <c:pt idx="1">
                  <c:v>0</c:v>
                </c:pt>
                <c:pt idx="2" formatCode="0.00%">
                  <c:v>3.2099999999999997E-2</c:v>
                </c:pt>
                <c:pt idx="3">
                  <c:v>0</c:v>
                </c:pt>
                <c:pt idx="4" formatCode="0.00%">
                  <c:v>1.5299999999999999E-2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2-2444-9CC4-1E814D8402FB}"/>
            </c:ext>
          </c:extLst>
        </c:ser>
        <c:ser>
          <c:idx val="1"/>
          <c:order val="1"/>
          <c:tx>
            <c:strRef>
              <c:f>'Figure 5'!$D$2</c:f>
              <c:strCache>
                <c:ptCount val="1"/>
                <c:pt idx="0">
                  <c:v>1990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5'!$A$3:$B$8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Black</c:v>
                  </c:pt>
                  <c:pt idx="2">
                    <c:v>Hispanic</c:v>
                  </c:pt>
                  <c:pt idx="4">
                    <c:v>White</c:v>
                  </c:pt>
                </c:lvl>
              </c:multiLvlStrCache>
            </c:multiLvlStrRef>
          </c:cat>
          <c:val>
            <c:numRef>
              <c:f>'Figure 5'!$D$3:$D$8</c:f>
              <c:numCache>
                <c:formatCode>0.00%</c:formatCode>
                <c:ptCount val="6"/>
                <c:pt idx="0">
                  <c:v>5.4199999999999998E-2</c:v>
                </c:pt>
                <c:pt idx="1">
                  <c:v>3.0000000000000001E-3</c:v>
                </c:pt>
                <c:pt idx="2">
                  <c:v>1.6400000000000001E-2</c:v>
                </c:pt>
                <c:pt idx="3">
                  <c:v>4.5999999999999999E-3</c:v>
                </c:pt>
                <c:pt idx="4">
                  <c:v>1.2500000000000001E-2</c:v>
                </c:pt>
                <c:pt idx="5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2-2444-9CC4-1E814D8402FB}"/>
            </c:ext>
          </c:extLst>
        </c:ser>
        <c:ser>
          <c:idx val="2"/>
          <c:order val="2"/>
          <c:tx>
            <c:strRef>
              <c:f>'Figure 5'!$E$2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5'!$A$3:$B$8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Black</c:v>
                  </c:pt>
                  <c:pt idx="2">
                    <c:v>Hispanic</c:v>
                  </c:pt>
                  <c:pt idx="4">
                    <c:v>White</c:v>
                  </c:pt>
                </c:lvl>
              </c:multiLvlStrCache>
            </c:multiLvlStrRef>
          </c:cat>
          <c:val>
            <c:numRef>
              <c:f>'Figure 5'!$E$3:$E$8</c:f>
              <c:numCache>
                <c:formatCode>0.00%</c:formatCode>
                <c:ptCount val="6"/>
                <c:pt idx="0">
                  <c:v>6.4500000000000002E-2</c:v>
                </c:pt>
                <c:pt idx="1">
                  <c:v>2.3999999999999998E-3</c:v>
                </c:pt>
                <c:pt idx="2">
                  <c:v>2.4E-2</c:v>
                </c:pt>
                <c:pt idx="3">
                  <c:v>2.5999999999999999E-3</c:v>
                </c:pt>
                <c:pt idx="4">
                  <c:v>9.5999999999999992E-3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2-2444-9CC4-1E814D8402FB}"/>
            </c:ext>
          </c:extLst>
        </c:ser>
        <c:ser>
          <c:idx val="3"/>
          <c:order val="3"/>
          <c:tx>
            <c:strRef>
              <c:f>'Figure 5'!$F$2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5'!$A$3:$B$8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Black</c:v>
                  </c:pt>
                  <c:pt idx="2">
                    <c:v>Hispanic</c:v>
                  </c:pt>
                  <c:pt idx="4">
                    <c:v>White</c:v>
                  </c:pt>
                </c:lvl>
              </c:multiLvlStrCache>
            </c:multiLvlStrRef>
          </c:cat>
          <c:val>
            <c:numRef>
              <c:f>'Figure 5'!$F$3:$F$8</c:f>
              <c:numCache>
                <c:formatCode>0.00%</c:formatCode>
                <c:ptCount val="6"/>
                <c:pt idx="0">
                  <c:v>2.3699999999999999E-2</c:v>
                </c:pt>
                <c:pt idx="1">
                  <c:v>1.6999999999999999E-3</c:v>
                </c:pt>
                <c:pt idx="2">
                  <c:v>5.7999999999999996E-3</c:v>
                </c:pt>
                <c:pt idx="3">
                  <c:v>1.2999999999999999E-3</c:v>
                </c:pt>
                <c:pt idx="4">
                  <c:v>6.6E-3</c:v>
                </c:pt>
                <c:pt idx="5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B2-2444-9CC4-1E814D840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215855"/>
        <c:axId val="417789903"/>
      </c:barChart>
      <c:catAx>
        <c:axId val="4852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7789903"/>
        <c:crosses val="autoZero"/>
        <c:auto val="1"/>
        <c:lblAlgn val="ctr"/>
        <c:lblOffset val="100"/>
        <c:noMultiLvlLbl val="0"/>
      </c:catAx>
      <c:valAx>
        <c:axId val="4177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Incarcerated (%) in 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521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6'!$C$2</c:f>
              <c:strCache>
                <c:ptCount val="1"/>
                <c:pt idx="0">
                  <c:v>1980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6'!$A$3:$B$11</c:f>
              <c:multiLvlStrCache>
                <c:ptCount val="9"/>
                <c:lvl>
                  <c:pt idx="0">
                    <c:v>College</c:v>
                  </c:pt>
                  <c:pt idx="1">
                    <c:v>High School Dropout</c:v>
                  </c:pt>
                  <c:pt idx="2">
                    <c:v>Middle School</c:v>
                  </c:pt>
                  <c:pt idx="3">
                    <c:v>College</c:v>
                  </c:pt>
                  <c:pt idx="4">
                    <c:v>High School Dropout</c:v>
                  </c:pt>
                  <c:pt idx="5">
                    <c:v>Middle School</c:v>
                  </c:pt>
                  <c:pt idx="6">
                    <c:v>College</c:v>
                  </c:pt>
                  <c:pt idx="7">
                    <c:v>High School Dropout</c:v>
                  </c:pt>
                  <c:pt idx="8">
                    <c:v>Middle School</c:v>
                  </c:pt>
                </c:lvl>
                <c:lvl>
                  <c:pt idx="0">
                    <c:v>Black</c:v>
                  </c:pt>
                  <c:pt idx="3">
                    <c:v>Hispanic</c:v>
                  </c:pt>
                  <c:pt idx="6">
                    <c:v>White</c:v>
                  </c:pt>
                </c:lvl>
              </c:multiLvlStrCache>
            </c:multiLvlStrRef>
          </c:cat>
          <c:val>
            <c:numRef>
              <c:f>'Figure 6'!$C$3:$C$11</c:f>
              <c:numCache>
                <c:formatCode>0.00%</c:formatCode>
                <c:ptCount val="9"/>
                <c:pt idx="0">
                  <c:v>4.7393364928909956E-3</c:v>
                </c:pt>
                <c:pt idx="1">
                  <c:v>3.8155802861685212E-2</c:v>
                </c:pt>
                <c:pt idx="2">
                  <c:v>0.14285714285714285</c:v>
                </c:pt>
                <c:pt idx="3">
                  <c:v>8.8495575221238937E-3</c:v>
                </c:pt>
                <c:pt idx="4">
                  <c:v>1.4577259475218658E-2</c:v>
                </c:pt>
                <c:pt idx="5">
                  <c:v>2.247191011235955E-2</c:v>
                </c:pt>
                <c:pt idx="6">
                  <c:v>2.2123893805309734E-3</c:v>
                </c:pt>
                <c:pt idx="7">
                  <c:v>9.6525096525096523E-3</c:v>
                </c:pt>
                <c:pt idx="8">
                  <c:v>3.6036036036036036E-2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B-624A-8170-22124016EED1}"/>
            </c:ext>
          </c:extLst>
        </c:ser>
        <c:ser>
          <c:idx val="1"/>
          <c:order val="1"/>
          <c:tx>
            <c:strRef>
              <c:f>'Figure 6'!$D$2</c:f>
              <c:strCache>
                <c:ptCount val="1"/>
                <c:pt idx="0">
                  <c:v>1990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6'!$A$3:$B$11</c:f>
              <c:multiLvlStrCache>
                <c:ptCount val="9"/>
                <c:lvl>
                  <c:pt idx="0">
                    <c:v>College</c:v>
                  </c:pt>
                  <c:pt idx="1">
                    <c:v>High School Dropout</c:v>
                  </c:pt>
                  <c:pt idx="2">
                    <c:v>Middle School</c:v>
                  </c:pt>
                  <c:pt idx="3">
                    <c:v>College</c:v>
                  </c:pt>
                  <c:pt idx="4">
                    <c:v>High School Dropout</c:v>
                  </c:pt>
                  <c:pt idx="5">
                    <c:v>Middle School</c:v>
                  </c:pt>
                  <c:pt idx="6">
                    <c:v>College</c:v>
                  </c:pt>
                  <c:pt idx="7">
                    <c:v>High School Dropout</c:v>
                  </c:pt>
                  <c:pt idx="8">
                    <c:v>Middle School</c:v>
                  </c:pt>
                </c:lvl>
                <c:lvl>
                  <c:pt idx="0">
                    <c:v>Black</c:v>
                  </c:pt>
                  <c:pt idx="3">
                    <c:v>Hispanic</c:v>
                  </c:pt>
                  <c:pt idx="6">
                    <c:v>White</c:v>
                  </c:pt>
                </c:lvl>
              </c:multiLvlStrCache>
            </c:multiLvlStrRef>
          </c:cat>
          <c:val>
            <c:numRef>
              <c:f>'Figure 6'!$D$3:$D$11</c:f>
              <c:numCache>
                <c:formatCode>0.00%</c:formatCode>
                <c:ptCount val="9"/>
                <c:pt idx="0">
                  <c:v>8.0482897384305842E-3</c:v>
                </c:pt>
                <c:pt idx="1">
                  <c:v>3.7644201578627808E-2</c:v>
                </c:pt>
                <c:pt idx="2">
                  <c:v>8.2191780821917804E-2</c:v>
                </c:pt>
                <c:pt idx="3">
                  <c:v>3.552397868561279E-3</c:v>
                </c:pt>
                <c:pt idx="4">
                  <c:v>1.5655577299412915E-2</c:v>
                </c:pt>
                <c:pt idx="5">
                  <c:v>0</c:v>
                </c:pt>
                <c:pt idx="6">
                  <c:v>1.1723329425556857E-3</c:v>
                </c:pt>
                <c:pt idx="7">
                  <c:v>9.7056981840951788E-3</c:v>
                </c:pt>
                <c:pt idx="8">
                  <c:v>1.4150943396226415E-2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B-624A-8170-22124016EED1}"/>
            </c:ext>
          </c:extLst>
        </c:ser>
        <c:ser>
          <c:idx val="2"/>
          <c:order val="2"/>
          <c:tx>
            <c:strRef>
              <c:f>'Figure 6'!$E$2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6'!$A$3:$B$11</c:f>
              <c:multiLvlStrCache>
                <c:ptCount val="9"/>
                <c:lvl>
                  <c:pt idx="0">
                    <c:v>College</c:v>
                  </c:pt>
                  <c:pt idx="1">
                    <c:v>High School Dropout</c:v>
                  </c:pt>
                  <c:pt idx="2">
                    <c:v>Middle School</c:v>
                  </c:pt>
                  <c:pt idx="3">
                    <c:v>College</c:v>
                  </c:pt>
                  <c:pt idx="4">
                    <c:v>High School Dropout</c:v>
                  </c:pt>
                  <c:pt idx="5">
                    <c:v>Middle School</c:v>
                  </c:pt>
                  <c:pt idx="6">
                    <c:v>College</c:v>
                  </c:pt>
                  <c:pt idx="7">
                    <c:v>High School Dropout</c:v>
                  </c:pt>
                  <c:pt idx="8">
                    <c:v>Middle School</c:v>
                  </c:pt>
                </c:lvl>
                <c:lvl>
                  <c:pt idx="0">
                    <c:v>Black</c:v>
                  </c:pt>
                  <c:pt idx="3">
                    <c:v>Hispanic</c:v>
                  </c:pt>
                  <c:pt idx="6">
                    <c:v>White</c:v>
                  </c:pt>
                </c:lvl>
              </c:multiLvlStrCache>
            </c:multiLvlStrRef>
          </c:cat>
          <c:val>
            <c:numRef>
              <c:f>'Figure 6'!$E$3:$E$11</c:f>
              <c:numCache>
                <c:formatCode>0.00%</c:formatCode>
                <c:ptCount val="9"/>
                <c:pt idx="0">
                  <c:v>1.9102196752626553E-2</c:v>
                </c:pt>
                <c:pt idx="1">
                  <c:v>4.1075429424943986E-2</c:v>
                </c:pt>
                <c:pt idx="2">
                  <c:v>0.08</c:v>
                </c:pt>
                <c:pt idx="3">
                  <c:v>4.4510385756676559E-3</c:v>
                </c:pt>
                <c:pt idx="4">
                  <c:v>1.8567639257294429E-2</c:v>
                </c:pt>
                <c:pt idx="5">
                  <c:v>2.9411764705882353E-2</c:v>
                </c:pt>
                <c:pt idx="6">
                  <c:v>1.9020446980504042E-3</c:v>
                </c:pt>
                <c:pt idx="7">
                  <c:v>8.4880636604774528E-3</c:v>
                </c:pt>
                <c:pt idx="8">
                  <c:v>1.4084507042253521E-2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5B-624A-8170-22124016EED1}"/>
            </c:ext>
          </c:extLst>
        </c:ser>
        <c:ser>
          <c:idx val="3"/>
          <c:order val="3"/>
          <c:tx>
            <c:strRef>
              <c:f>'Figure 6'!$F$2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6'!$A$3:$B$11</c:f>
              <c:multiLvlStrCache>
                <c:ptCount val="9"/>
                <c:lvl>
                  <c:pt idx="0">
                    <c:v>College</c:v>
                  </c:pt>
                  <c:pt idx="1">
                    <c:v>High School Dropout</c:v>
                  </c:pt>
                  <c:pt idx="2">
                    <c:v>Middle School</c:v>
                  </c:pt>
                  <c:pt idx="3">
                    <c:v>College</c:v>
                  </c:pt>
                  <c:pt idx="4">
                    <c:v>High School Dropout</c:v>
                  </c:pt>
                  <c:pt idx="5">
                    <c:v>Middle School</c:v>
                  </c:pt>
                  <c:pt idx="6">
                    <c:v>College</c:v>
                  </c:pt>
                  <c:pt idx="7">
                    <c:v>High School Dropout</c:v>
                  </c:pt>
                  <c:pt idx="8">
                    <c:v>Middle School</c:v>
                  </c:pt>
                </c:lvl>
                <c:lvl>
                  <c:pt idx="0">
                    <c:v>Black</c:v>
                  </c:pt>
                  <c:pt idx="3">
                    <c:v>Hispanic</c:v>
                  </c:pt>
                  <c:pt idx="6">
                    <c:v>White</c:v>
                  </c:pt>
                </c:lvl>
              </c:multiLvlStrCache>
            </c:multiLvlStrRef>
          </c:cat>
          <c:val>
            <c:numRef>
              <c:f>'Figure 6'!$F$3:$F$11</c:f>
              <c:numCache>
                <c:formatCode>0.00%</c:formatCode>
                <c:ptCount val="9"/>
                <c:pt idx="0">
                  <c:v>5.893909626719057E-3</c:v>
                </c:pt>
                <c:pt idx="1">
                  <c:v>1.7214397496087636E-2</c:v>
                </c:pt>
                <c:pt idx="2">
                  <c:v>2.0833333333333332E-2</c:v>
                </c:pt>
                <c:pt idx="3">
                  <c:v>1.7452006980802793E-3</c:v>
                </c:pt>
                <c:pt idx="4">
                  <c:v>5.2287581699346402E-3</c:v>
                </c:pt>
                <c:pt idx="5">
                  <c:v>0</c:v>
                </c:pt>
                <c:pt idx="6">
                  <c:v>1.0335917312661498E-3</c:v>
                </c:pt>
                <c:pt idx="7">
                  <c:v>6.3510392609699767E-3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5B-624A-8170-22124016E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562959"/>
        <c:axId val="2041626095"/>
      </c:barChart>
      <c:catAx>
        <c:axId val="204756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41626095"/>
        <c:crosses val="autoZero"/>
        <c:auto val="1"/>
        <c:lblAlgn val="ctr"/>
        <c:lblOffset val="100"/>
        <c:noMultiLvlLbl val="0"/>
      </c:catAx>
      <c:valAx>
        <c:axId val="20416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Incarcerated (%) in 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4756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7'!$C$3</c:f>
              <c:strCache>
                <c:ptCount val="1"/>
                <c:pt idx="0">
                  <c:v>In Jail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7'!$A$4:$B$9</c:f>
              <c:multiLvlStrCache>
                <c:ptCount val="6"/>
                <c:lvl>
                  <c:pt idx="0">
                    <c:v>Black</c:v>
                  </c:pt>
                  <c:pt idx="1">
                    <c:v>Hispanic</c:v>
                  </c:pt>
                  <c:pt idx="2">
                    <c:v>White</c:v>
                  </c:pt>
                  <c:pt idx="3">
                    <c:v>Black</c:v>
                  </c:pt>
                  <c:pt idx="4">
                    <c:v>Hispanic</c:v>
                  </c:pt>
                  <c:pt idx="5">
                    <c:v>White</c:v>
                  </c:pt>
                </c:lvl>
                <c:lvl>
                  <c:pt idx="0">
                    <c:v>1980</c:v>
                  </c:pt>
                  <c:pt idx="3">
                    <c:v>2000</c:v>
                  </c:pt>
                </c:lvl>
              </c:multiLvlStrCache>
            </c:multiLvlStrRef>
          </c:cat>
          <c:val>
            <c:numRef>
              <c:f>'Figure 7'!$C$4:$C$9</c:f>
              <c:numCache>
                <c:formatCode>General</c:formatCode>
                <c:ptCount val="6"/>
                <c:pt idx="0">
                  <c:v>9943.7272727272721</c:v>
                </c:pt>
                <c:pt idx="1">
                  <c:v>12500</c:v>
                </c:pt>
                <c:pt idx="2">
                  <c:v>13781.4</c:v>
                </c:pt>
                <c:pt idx="3">
                  <c:v>4221.7974683544307</c:v>
                </c:pt>
                <c:pt idx="4">
                  <c:v>3579.4</c:v>
                </c:pt>
                <c:pt idx="5">
                  <c:v>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C-7045-99AF-C57F7FF6BB0D}"/>
            </c:ext>
          </c:extLst>
        </c:ser>
        <c:ser>
          <c:idx val="1"/>
          <c:order val="1"/>
          <c:tx>
            <c:strRef>
              <c:f>'Figure 7'!$D$3</c:f>
              <c:strCache>
                <c:ptCount val="1"/>
                <c:pt idx="0">
                  <c:v>Not in Jail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'Figure 7'!$A$4:$B$9</c:f>
              <c:multiLvlStrCache>
                <c:ptCount val="6"/>
                <c:lvl>
                  <c:pt idx="0">
                    <c:v>Black</c:v>
                  </c:pt>
                  <c:pt idx="1">
                    <c:v>Hispanic</c:v>
                  </c:pt>
                  <c:pt idx="2">
                    <c:v>White</c:v>
                  </c:pt>
                  <c:pt idx="3">
                    <c:v>Black</c:v>
                  </c:pt>
                  <c:pt idx="4">
                    <c:v>Hispanic</c:v>
                  </c:pt>
                  <c:pt idx="5">
                    <c:v>White</c:v>
                  </c:pt>
                </c:lvl>
                <c:lvl>
                  <c:pt idx="0">
                    <c:v>1980</c:v>
                  </c:pt>
                  <c:pt idx="3">
                    <c:v>2000</c:v>
                  </c:pt>
                </c:lvl>
              </c:multiLvlStrCache>
            </c:multiLvlStrRef>
          </c:cat>
          <c:val>
            <c:numRef>
              <c:f>'Figure 7'!$D$4:$D$9</c:f>
              <c:numCache>
                <c:formatCode>General</c:formatCode>
                <c:ptCount val="6"/>
                <c:pt idx="0">
                  <c:v>9775.7985507246376</c:v>
                </c:pt>
                <c:pt idx="1">
                  <c:v>10549.188505747126</c:v>
                </c:pt>
                <c:pt idx="2">
                  <c:v>12641.680193596427</c:v>
                </c:pt>
                <c:pt idx="3">
                  <c:v>29548.778107764108</c:v>
                </c:pt>
                <c:pt idx="4">
                  <c:v>40865.353835978836</c:v>
                </c:pt>
                <c:pt idx="5">
                  <c:v>55484.625402327307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C-7045-99AF-C57F7FF6B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564879"/>
        <c:axId val="416278015"/>
      </c:barChart>
      <c:catAx>
        <c:axId val="204756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6278015"/>
        <c:crosses val="autoZero"/>
        <c:auto val="1"/>
        <c:lblAlgn val="ctr"/>
        <c:lblOffset val="100"/>
        <c:noMultiLvlLbl val="0"/>
      </c:catAx>
      <c:valAx>
        <c:axId val="41627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Average Family Income (in USD /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4756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669555</xdr:colOff>
      <xdr:row>26</xdr:row>
      <xdr:rowOff>53163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B0B3B-C55A-194C-8212-ADAA0E98C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9</xdr:row>
      <xdr:rowOff>25400</xdr:rowOff>
    </xdr:from>
    <xdr:to>
      <xdr:col>20</xdr:col>
      <xdr:colOff>412012</xdr:colOff>
      <xdr:row>25</xdr:row>
      <xdr:rowOff>146582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C8FE4-FA09-CD42-B096-9893C2BDE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355600</xdr:colOff>
      <xdr:row>2</xdr:row>
      <xdr:rowOff>0</xdr:rowOff>
    </xdr:from>
    <xdr:to>
      <xdr:col>12</xdr:col>
      <xdr:colOff>532218</xdr:colOff>
      <xdr:row>18</xdr:row>
      <xdr:rowOff>23628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9AEFC-B1A0-2445-B7E6-4D485431F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14</xdr:col>
      <xdr:colOff>664298</xdr:colOff>
      <xdr:row>20</xdr:row>
      <xdr:rowOff>70824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5C32F-AFB4-2246-BD09-8260E3278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12</xdr:col>
      <xdr:colOff>717638</xdr:colOff>
      <xdr:row>19</xdr:row>
      <xdr:rowOff>156122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11288-9C3B-F146-9467-8FFC67FDA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0F67-6D40-4D0E-B985-F1941CAE11C6}">
  <dimension ref="A1:D46"/>
  <sheetViews>
    <sheetView workbookViewId="0">
      <selection activeCell="H31" sqref="H31"/>
    </sheetView>
  </sheetViews>
  <sheetFormatPr baseColWidth="10" defaultColWidth="8.83203125" defaultRowHeight="15" x14ac:dyDescent="0.2"/>
  <cols>
    <col min="1" max="1" width="16.5" customWidth="1"/>
    <col min="3" max="3" width="19.1640625" customWidth="1"/>
  </cols>
  <sheetData>
    <row r="1" spans="1:4" x14ac:dyDescent="0.2">
      <c r="A1" t="s">
        <v>13</v>
      </c>
      <c r="B1" t="s">
        <v>14</v>
      </c>
      <c r="C1" t="s">
        <v>16</v>
      </c>
      <c r="D1" t="s">
        <v>15</v>
      </c>
    </row>
    <row r="2" spans="1:4" x14ac:dyDescent="0.2">
      <c r="A2">
        <v>0</v>
      </c>
      <c r="B2">
        <v>0</v>
      </c>
    </row>
    <row r="3" spans="1:4" x14ac:dyDescent="0.2">
      <c r="A3">
        <v>1978</v>
      </c>
      <c r="B3">
        <v>130.81</v>
      </c>
      <c r="D3">
        <v>1.0380207098887873</v>
      </c>
    </row>
    <row r="4" spans="1:4" x14ac:dyDescent="0.2">
      <c r="A4">
        <v>1979</v>
      </c>
      <c r="B4">
        <v>133.07</v>
      </c>
      <c r="C4">
        <f>((B4/B3)-1)*100</f>
        <v>1.7276966592768117</v>
      </c>
      <c r="D4">
        <v>1.0875793376767806</v>
      </c>
    </row>
    <row r="5" spans="1:4" x14ac:dyDescent="0.2">
      <c r="A5">
        <v>1980</v>
      </c>
      <c r="B5">
        <v>138.31</v>
      </c>
      <c r="C5">
        <f t="shared" ref="C5:C44" si="0">((B5/B4)-1)*100</f>
        <v>3.9377771097918401</v>
      </c>
      <c r="D5">
        <v>1.0365775329048255</v>
      </c>
    </row>
    <row r="6" spans="1:4" x14ac:dyDescent="0.2">
      <c r="A6">
        <v>1981</v>
      </c>
      <c r="B6">
        <v>153.34</v>
      </c>
      <c r="C6">
        <f t="shared" si="0"/>
        <v>10.86689321090304</v>
      </c>
      <c r="D6">
        <v>1.0194742830289316</v>
      </c>
    </row>
    <row r="7" spans="1:4" x14ac:dyDescent="0.2">
      <c r="A7">
        <v>1982</v>
      </c>
      <c r="B7">
        <v>169.89</v>
      </c>
      <c r="C7">
        <f t="shared" si="0"/>
        <v>10.793008999608711</v>
      </c>
      <c r="D7">
        <v>0.96300595497769148</v>
      </c>
    </row>
    <row r="8" spans="1:4" x14ac:dyDescent="0.2">
      <c r="A8">
        <v>1983</v>
      </c>
      <c r="B8">
        <v>178.55</v>
      </c>
      <c r="C8">
        <f t="shared" si="0"/>
        <v>5.0974159750426962</v>
      </c>
      <c r="D8">
        <v>0.93525401504963579</v>
      </c>
    </row>
    <row r="9" spans="1:4" x14ac:dyDescent="0.2">
      <c r="A9">
        <v>1984</v>
      </c>
      <c r="B9">
        <v>187.14</v>
      </c>
      <c r="C9">
        <f t="shared" si="0"/>
        <v>4.8109773172780645</v>
      </c>
      <c r="D9">
        <v>0.88736942697831278</v>
      </c>
    </row>
    <row r="10" spans="1:4" x14ac:dyDescent="0.2">
      <c r="A10">
        <v>1985</v>
      </c>
      <c r="B10">
        <v>200.98</v>
      </c>
      <c r="C10">
        <f t="shared" si="0"/>
        <v>7.3955327562252871</v>
      </c>
      <c r="D10">
        <v>0.88129051396304003</v>
      </c>
    </row>
    <row r="11" spans="1:4" x14ac:dyDescent="0.2">
      <c r="A11">
        <v>1986</v>
      </c>
      <c r="B11">
        <v>216.39</v>
      </c>
      <c r="C11">
        <f t="shared" si="0"/>
        <v>7.667429594984565</v>
      </c>
      <c r="D11">
        <v>0.9162491560407604</v>
      </c>
    </row>
    <row r="12" spans="1:4" x14ac:dyDescent="0.2">
      <c r="A12">
        <v>1987</v>
      </c>
      <c r="B12">
        <v>230.35</v>
      </c>
      <c r="C12">
        <f t="shared" si="0"/>
        <v>6.4513147557650585</v>
      </c>
      <c r="D12">
        <v>0.90255906729421742</v>
      </c>
    </row>
    <row r="13" spans="1:4" x14ac:dyDescent="0.2">
      <c r="A13">
        <v>1988</v>
      </c>
      <c r="B13">
        <v>245.71</v>
      </c>
      <c r="C13">
        <f t="shared" si="0"/>
        <v>6.6681137399609458</v>
      </c>
      <c r="D13">
        <v>0.90960181728376721</v>
      </c>
    </row>
    <row r="14" spans="1:4" x14ac:dyDescent="0.2">
      <c r="A14">
        <v>1989</v>
      </c>
      <c r="B14">
        <v>274.39999999999998</v>
      </c>
      <c r="C14">
        <f t="shared" si="0"/>
        <v>11.676366448251985</v>
      </c>
      <c r="D14">
        <v>0.92119013282980777</v>
      </c>
    </row>
    <row r="15" spans="1:4" x14ac:dyDescent="0.2">
      <c r="A15">
        <v>1990</v>
      </c>
      <c r="B15">
        <v>295.14</v>
      </c>
      <c r="C15">
        <f t="shared" si="0"/>
        <v>7.5583090379008677</v>
      </c>
      <c r="D15">
        <v>1.2231050721641434</v>
      </c>
    </row>
    <row r="16" spans="1:4" x14ac:dyDescent="0.2">
      <c r="A16">
        <v>1991</v>
      </c>
      <c r="B16">
        <v>311.33999999999997</v>
      </c>
      <c r="C16">
        <f t="shared" si="0"/>
        <v>5.4889205122992335</v>
      </c>
      <c r="D16">
        <v>1.0044768106169943</v>
      </c>
    </row>
    <row r="17" spans="1:4" x14ac:dyDescent="0.2">
      <c r="A17">
        <v>1992</v>
      </c>
      <c r="B17">
        <v>329.91</v>
      </c>
      <c r="C17">
        <f t="shared" si="0"/>
        <v>5.9645403738678215</v>
      </c>
      <c r="D17">
        <v>1.4229035268471746</v>
      </c>
    </row>
    <row r="18" spans="1:4" x14ac:dyDescent="0.2">
      <c r="A18">
        <v>1993</v>
      </c>
      <c r="B18">
        <v>359.69</v>
      </c>
      <c r="C18">
        <f t="shared" si="0"/>
        <v>9.0267042526749552</v>
      </c>
      <c r="D18">
        <v>1.3919524435258124</v>
      </c>
    </row>
    <row r="19" spans="1:4" x14ac:dyDescent="0.2">
      <c r="A19">
        <v>1994</v>
      </c>
      <c r="B19">
        <v>388.62</v>
      </c>
      <c r="C19">
        <f t="shared" si="0"/>
        <v>8.0430370596902954</v>
      </c>
      <c r="D19">
        <v>1.2660572027825001</v>
      </c>
    </row>
    <row r="20" spans="1:4" x14ac:dyDescent="0.2">
      <c r="A20">
        <v>1995</v>
      </c>
      <c r="B20">
        <v>410.9</v>
      </c>
      <c r="C20">
        <f t="shared" si="0"/>
        <v>5.7331068910503769</v>
      </c>
      <c r="D20">
        <v>1.205676919995291</v>
      </c>
    </row>
    <row r="21" spans="1:4" x14ac:dyDescent="0.2">
      <c r="A21">
        <v>1996</v>
      </c>
      <c r="B21">
        <v>426.79</v>
      </c>
      <c r="C21">
        <f t="shared" si="0"/>
        <v>3.8671209540034113</v>
      </c>
      <c r="D21">
        <v>1.1812173495053591</v>
      </c>
    </row>
    <row r="22" spans="1:4" x14ac:dyDescent="0.2">
      <c r="A22">
        <v>1997</v>
      </c>
      <c r="B22">
        <v>443.8</v>
      </c>
      <c r="C22">
        <f t="shared" si="0"/>
        <v>3.9855666721338334</v>
      </c>
      <c r="D22">
        <v>1.1995283188508177</v>
      </c>
    </row>
    <row r="23" spans="1:4" x14ac:dyDescent="0.2">
      <c r="A23">
        <v>1998</v>
      </c>
      <c r="B23">
        <v>463</v>
      </c>
      <c r="C23">
        <f t="shared" si="0"/>
        <v>4.326273095989186</v>
      </c>
      <c r="D23">
        <v>1.2066474145691064</v>
      </c>
    </row>
    <row r="24" spans="1:4" x14ac:dyDescent="0.2">
      <c r="A24">
        <v>1999</v>
      </c>
      <c r="B24">
        <v>475.9</v>
      </c>
      <c r="C24">
        <f t="shared" si="0"/>
        <v>2.7861771058315332</v>
      </c>
      <c r="D24">
        <v>1.1547056392550825</v>
      </c>
    </row>
    <row r="25" spans="1:4" x14ac:dyDescent="0.2">
      <c r="A25">
        <v>2000</v>
      </c>
      <c r="B25">
        <v>470.26</v>
      </c>
      <c r="C25">
        <f t="shared" si="0"/>
        <v>-1.1851229249842388</v>
      </c>
      <c r="D25">
        <v>1.1503280135137572</v>
      </c>
    </row>
    <row r="26" spans="1:4" x14ac:dyDescent="0.2">
      <c r="A26">
        <v>2001</v>
      </c>
      <c r="B26">
        <v>469.55</v>
      </c>
      <c r="C26">
        <f t="shared" si="0"/>
        <v>-0.15098030876535828</v>
      </c>
      <c r="D26">
        <v>1.0115205505255576</v>
      </c>
    </row>
    <row r="27" spans="1:4" x14ac:dyDescent="0.2">
      <c r="A27">
        <v>2002</v>
      </c>
      <c r="B27">
        <v>477.35</v>
      </c>
      <c r="C27">
        <f t="shared" si="0"/>
        <v>1.661164945160265</v>
      </c>
      <c r="D27">
        <v>0.96323044844603967</v>
      </c>
    </row>
    <row r="28" spans="1:4" x14ac:dyDescent="0.2">
      <c r="A28">
        <v>2003</v>
      </c>
      <c r="B28">
        <v>482.67</v>
      </c>
      <c r="C28">
        <f t="shared" si="0"/>
        <v>1.1144862260396016</v>
      </c>
      <c r="D28">
        <v>0.89749048570437751</v>
      </c>
    </row>
    <row r="29" spans="1:4" x14ac:dyDescent="0.2">
      <c r="A29">
        <v>2004</v>
      </c>
      <c r="B29">
        <v>486.88</v>
      </c>
      <c r="C29">
        <f t="shared" si="0"/>
        <v>0.87223154536224534</v>
      </c>
      <c r="D29">
        <v>0.89662592759134352</v>
      </c>
    </row>
    <row r="30" spans="1:4" x14ac:dyDescent="0.2">
      <c r="A30">
        <v>2005</v>
      </c>
      <c r="B30">
        <v>492.19</v>
      </c>
      <c r="C30">
        <f t="shared" si="0"/>
        <v>1.0906178113703646</v>
      </c>
      <c r="D30">
        <v>0.9278681135306055</v>
      </c>
    </row>
    <row r="31" spans="1:4" x14ac:dyDescent="0.2">
      <c r="A31">
        <v>2006</v>
      </c>
      <c r="B31">
        <v>501.24</v>
      </c>
      <c r="C31">
        <f t="shared" si="0"/>
        <v>1.8387208191958493</v>
      </c>
      <c r="D31">
        <v>0.94754487780011054</v>
      </c>
    </row>
    <row r="32" spans="1:4" x14ac:dyDescent="0.2">
      <c r="A32">
        <v>2007</v>
      </c>
      <c r="B32">
        <v>505.74</v>
      </c>
      <c r="C32">
        <f t="shared" si="0"/>
        <v>0.89777352166626745</v>
      </c>
      <c r="D32">
        <v>0.96222286108025301</v>
      </c>
    </row>
    <row r="33" spans="1:4" x14ac:dyDescent="0.2">
      <c r="A33">
        <v>2008</v>
      </c>
      <c r="B33">
        <v>506.14</v>
      </c>
      <c r="C33">
        <f t="shared" si="0"/>
        <v>7.9092023569415915E-2</v>
      </c>
      <c r="D33">
        <v>0.95295998005000548</v>
      </c>
    </row>
    <row r="34" spans="1:4" x14ac:dyDescent="0.2">
      <c r="A34">
        <v>2009</v>
      </c>
      <c r="B34">
        <v>503.75</v>
      </c>
      <c r="C34">
        <f t="shared" si="0"/>
        <v>-0.4722013672106451</v>
      </c>
      <c r="D34">
        <v>0.9152637701389521</v>
      </c>
    </row>
    <row r="35" spans="1:4" x14ac:dyDescent="0.2">
      <c r="A35">
        <v>2010</v>
      </c>
      <c r="B35">
        <v>500</v>
      </c>
      <c r="C35">
        <f t="shared" si="0"/>
        <v>-0.74441687344912744</v>
      </c>
      <c r="D35">
        <v>0.85668236998719394</v>
      </c>
    </row>
    <row r="36" spans="1:4" x14ac:dyDescent="0.2">
      <c r="A36">
        <v>2011</v>
      </c>
      <c r="B36">
        <v>491.93194703668263</v>
      </c>
      <c r="C36">
        <f t="shared" si="0"/>
        <v>-1.6136105926634725</v>
      </c>
      <c r="D36">
        <v>0.81338561950350385</v>
      </c>
    </row>
    <row r="37" spans="1:4" x14ac:dyDescent="0.2">
      <c r="A37">
        <v>2012</v>
      </c>
      <c r="B37">
        <v>479.71984077179798</v>
      </c>
      <c r="C37">
        <f t="shared" si="0"/>
        <v>-2.482478793753562</v>
      </c>
      <c r="D37">
        <v>0.7304462190775185</v>
      </c>
    </row>
    <row r="38" spans="1:4" x14ac:dyDescent="0.2">
      <c r="A38">
        <v>2013</v>
      </c>
      <c r="B38">
        <v>477.37160696682702</v>
      </c>
      <c r="C38">
        <f t="shared" si="0"/>
        <v>-0.48950108071265097</v>
      </c>
      <c r="D38">
        <v>0.72530347329959888</v>
      </c>
    </row>
    <row r="39" spans="1:4" x14ac:dyDescent="0.2">
      <c r="A39">
        <v>2014</v>
      </c>
      <c r="B39">
        <v>470.75630920142299</v>
      </c>
      <c r="C39">
        <f t="shared" si="0"/>
        <v>-1.3857752888649988</v>
      </c>
      <c r="D39">
        <v>0.70675413254517316</v>
      </c>
    </row>
    <row r="40" spans="1:4" x14ac:dyDescent="0.2">
      <c r="A40">
        <v>2015</v>
      </c>
      <c r="B40">
        <v>458.55635844213498</v>
      </c>
      <c r="C40">
        <f t="shared" si="0"/>
        <v>-2.591563941008812</v>
      </c>
      <c r="D40">
        <v>0.7469701278663976</v>
      </c>
    </row>
    <row r="41" spans="1:4" x14ac:dyDescent="0.2">
      <c r="A41">
        <v>2016</v>
      </c>
      <c r="B41">
        <v>449.68940740649901</v>
      </c>
      <c r="C41">
        <f t="shared" si="0"/>
        <v>-1.9336665760692706</v>
      </c>
      <c r="D41">
        <v>0.71555393357909391</v>
      </c>
    </row>
    <row r="42" spans="1:4" x14ac:dyDescent="0.2">
      <c r="A42">
        <v>2017</v>
      </c>
      <c r="B42">
        <v>441.38477222918999</v>
      </c>
      <c r="C42">
        <f t="shared" si="0"/>
        <v>-1.8467491207330156</v>
      </c>
      <c r="D42">
        <v>0.69264215949780272</v>
      </c>
    </row>
    <row r="43" spans="1:4" x14ac:dyDescent="0.2">
      <c r="A43">
        <v>2018</v>
      </c>
      <c r="B43">
        <v>431.51056823686417</v>
      </c>
      <c r="C43">
        <f t="shared" si="0"/>
        <v>-2.2370966588758145</v>
      </c>
      <c r="D43">
        <v>0.57652847709943611</v>
      </c>
    </row>
    <row r="44" spans="1:4" x14ac:dyDescent="0.2">
      <c r="A44">
        <v>2019</v>
      </c>
      <c r="B44">
        <v>419.41046916772933</v>
      </c>
      <c r="C44">
        <f t="shared" si="0"/>
        <v>-2.8041257757777216</v>
      </c>
      <c r="D44">
        <v>0.492001297266631</v>
      </c>
    </row>
    <row r="45" spans="1:4" x14ac:dyDescent="0.2">
      <c r="D45">
        <v>0.45389615834410257</v>
      </c>
    </row>
    <row r="46" spans="1:4" x14ac:dyDescent="0.2">
      <c r="D46">
        <v>0.26375710402426478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C23A-918A-412C-B919-00883ADC353B}">
  <dimension ref="A1:S40"/>
  <sheetViews>
    <sheetView workbookViewId="0">
      <pane ySplit="1" topLeftCell="A2" activePane="bottomLeft" state="frozen"/>
      <selection pane="bottomLeft" activeCell="M31" sqref="M31"/>
    </sheetView>
  </sheetViews>
  <sheetFormatPr baseColWidth="10" defaultColWidth="8.83203125" defaultRowHeight="15" x14ac:dyDescent="0.2"/>
  <cols>
    <col min="1" max="1" width="5" bestFit="1" customWidth="1"/>
    <col min="2" max="2" width="9.83203125" bestFit="1" customWidth="1"/>
    <col min="3" max="3" width="7.1640625" bestFit="1" customWidth="1"/>
    <col min="4" max="4" width="11.1640625" bestFit="1" customWidth="1"/>
    <col min="5" max="5" width="10.1640625" bestFit="1" customWidth="1"/>
    <col min="6" max="6" width="9.6640625" bestFit="1" customWidth="1"/>
    <col min="7" max="7" width="10.1640625" bestFit="1" customWidth="1"/>
    <col min="8" max="8" width="12.83203125" bestFit="1" customWidth="1"/>
    <col min="9" max="9" width="9.33203125" bestFit="1" customWidth="1"/>
    <col min="10" max="10" width="8.83203125" bestFit="1" customWidth="1"/>
    <col min="11" max="11" width="9.33203125" bestFit="1" customWidth="1"/>
    <col min="13" max="14" width="7.83203125" bestFit="1" customWidth="1"/>
    <col min="15" max="15" width="6.83203125" bestFit="1" customWidth="1"/>
    <col min="16" max="16" width="7.83203125" customWidth="1"/>
    <col min="17" max="17" width="10.1640625" customWidth="1"/>
    <col min="18" max="18" width="7.6640625" customWidth="1"/>
  </cols>
  <sheetData>
    <row r="1" spans="1:19" x14ac:dyDescent="0.2">
      <c r="A1" s="3" t="s">
        <v>17</v>
      </c>
      <c r="B1" s="8" t="s">
        <v>18</v>
      </c>
      <c r="C1" s="8" t="s">
        <v>19</v>
      </c>
      <c r="D1" s="8" t="s">
        <v>20</v>
      </c>
      <c r="E1" s="8" t="s">
        <v>34</v>
      </c>
      <c r="F1" s="8" t="s">
        <v>35</v>
      </c>
      <c r="G1" s="8" t="s">
        <v>36</v>
      </c>
      <c r="H1" s="8" t="s">
        <v>21</v>
      </c>
      <c r="I1" s="8" t="s">
        <v>37</v>
      </c>
      <c r="J1" s="8" t="s">
        <v>38</v>
      </c>
      <c r="K1" s="8" t="s">
        <v>39</v>
      </c>
    </row>
    <row r="2" spans="1:19" x14ac:dyDescent="0.2">
      <c r="A2" s="3">
        <v>2014</v>
      </c>
      <c r="B2" s="13" t="s">
        <v>33</v>
      </c>
      <c r="C2" s="12">
        <v>4.7131557414651238E-3</v>
      </c>
      <c r="D2" s="12">
        <v>8.9010050420838174E-3</v>
      </c>
      <c r="E2" s="12">
        <v>4.6495019216180704E-3</v>
      </c>
      <c r="F2" s="12">
        <v>2.7237711852885548E-2</v>
      </c>
      <c r="G2" s="12">
        <v>1.0905038407427918E-2</v>
      </c>
      <c r="H2" s="12">
        <v>6.5360100016894208E-4</v>
      </c>
      <c r="I2" s="12">
        <v>5.2840352508161696E-4</v>
      </c>
      <c r="J2" s="12">
        <v>1.0880783000993828E-3</v>
      </c>
      <c r="K2" s="12">
        <v>6.4381820838506115E-4</v>
      </c>
    </row>
    <row r="3" spans="1:19" x14ac:dyDescent="0.2">
      <c r="A3" s="3">
        <v>2014</v>
      </c>
      <c r="B3" t="s">
        <v>22</v>
      </c>
      <c r="C3" s="9">
        <v>1.6915201399057267E-3</v>
      </c>
      <c r="D3" s="9">
        <v>3.1671914907861788E-3</v>
      </c>
      <c r="E3" s="9">
        <v>1.0165944854506621E-3</v>
      </c>
      <c r="F3" s="9">
        <v>1.0718449850551525E-2</v>
      </c>
      <c r="G3" s="9">
        <v>3.4917070540033531E-3</v>
      </c>
      <c r="H3" s="9">
        <v>1.4069892003217002E-4</v>
      </c>
      <c r="I3" s="9">
        <v>7.6827004347560386E-5</v>
      </c>
      <c r="J3" s="9">
        <v>3.1700058525244623E-4</v>
      </c>
      <c r="K3" s="9">
        <v>1.6668138556021918E-4</v>
      </c>
    </row>
    <row r="4" spans="1:19" x14ac:dyDescent="0.2">
      <c r="A4" s="3">
        <v>2014</v>
      </c>
      <c r="B4" t="s">
        <v>23</v>
      </c>
      <c r="C4" s="9">
        <v>7.4621958196774661E-3</v>
      </c>
      <c r="D4" s="9">
        <v>1.3649136084084499E-2</v>
      </c>
      <c r="E4" s="9">
        <v>5.8424759761427853E-3</v>
      </c>
      <c r="F4" s="9">
        <v>3.8682036644698159E-2</v>
      </c>
      <c r="G4" s="9">
        <v>1.5206140054152117E-2</v>
      </c>
      <c r="H4" s="9">
        <v>9.5712858621511553E-4</v>
      </c>
      <c r="I4" s="9">
        <v>7.2404692871751327E-4</v>
      </c>
      <c r="J4" s="9">
        <v>1.5157476892495971E-3</v>
      </c>
      <c r="K4" s="9">
        <v>9.3878884088748375E-4</v>
      </c>
      <c r="M4" s="6"/>
    </row>
    <row r="5" spans="1:19" x14ac:dyDescent="0.2">
      <c r="A5" s="3">
        <v>2014</v>
      </c>
      <c r="B5" t="s">
        <v>24</v>
      </c>
      <c r="C5" s="9">
        <v>1.0545526725566658E-2</v>
      </c>
      <c r="D5" s="9">
        <v>1.911541171519952E-2</v>
      </c>
      <c r="E5" s="9">
        <v>9.5809603911180038E-3</v>
      </c>
      <c r="F5" s="9">
        <v>5.4336859935938571E-2</v>
      </c>
      <c r="G5" s="9">
        <v>2.2445443158247994E-2</v>
      </c>
      <c r="H5" s="9">
        <v>1.703652688563572E-3</v>
      </c>
      <c r="I5" s="9">
        <v>1.4951034953503651E-3</v>
      </c>
      <c r="J5" s="9">
        <v>2.4410738215691163E-3</v>
      </c>
      <c r="K5" s="9">
        <v>1.6478383044075981E-3</v>
      </c>
    </row>
    <row r="6" spans="1:19" x14ac:dyDescent="0.2">
      <c r="A6" s="3">
        <v>2014</v>
      </c>
      <c r="B6" t="s">
        <v>25</v>
      </c>
      <c r="C6" s="9">
        <v>1.1607121728062973E-2</v>
      </c>
      <c r="D6" s="9">
        <v>2.1285641361342849E-2</v>
      </c>
      <c r="E6" s="9">
        <v>1.1114951786795918E-2</v>
      </c>
      <c r="F6" s="9">
        <v>6.4123779407548154E-2</v>
      </c>
      <c r="G6" s="9">
        <v>2.4573844223185107E-2</v>
      </c>
      <c r="H6" s="9">
        <v>1.8463554010227036E-3</v>
      </c>
      <c r="I6" s="9">
        <v>1.6316516103539128E-3</v>
      </c>
      <c r="J6" s="9">
        <v>2.6402743814520533E-3</v>
      </c>
      <c r="K6" s="9">
        <v>1.7356014322319729E-3</v>
      </c>
    </row>
    <row r="7" spans="1:19" x14ac:dyDescent="0.2">
      <c r="A7" s="3">
        <v>2014</v>
      </c>
      <c r="B7" t="s">
        <v>26</v>
      </c>
      <c r="C7" s="9">
        <v>1.0669485772520467E-2</v>
      </c>
      <c r="D7" s="9">
        <v>1.9822143084388493E-2</v>
      </c>
      <c r="E7" s="9">
        <v>1.0292553916023552E-2</v>
      </c>
      <c r="F7" s="9">
        <v>6.1219960581892038E-2</v>
      </c>
      <c r="G7" s="9">
        <v>2.2721673531153189E-2</v>
      </c>
      <c r="H7" s="9">
        <v>1.5489761341851483E-3</v>
      </c>
      <c r="I7" s="9">
        <v>1.3771272002503772E-3</v>
      </c>
      <c r="J7" s="9">
        <v>2.2911233234566698E-3</v>
      </c>
      <c r="K7" s="9">
        <v>1.3689475825160598E-3</v>
      </c>
    </row>
    <row r="8" spans="1:19" x14ac:dyDescent="0.2">
      <c r="A8" s="3">
        <v>2014</v>
      </c>
      <c r="B8" t="s">
        <v>27</v>
      </c>
      <c r="C8" s="9">
        <v>9.0430801198163619E-3</v>
      </c>
      <c r="D8" s="9">
        <v>1.6885406865054142E-2</v>
      </c>
      <c r="E8" s="9">
        <v>9.4219428644895294E-3</v>
      </c>
      <c r="F8" s="9">
        <v>5.1051160510854988E-2</v>
      </c>
      <c r="G8" s="9">
        <v>1.932534689831434E-2</v>
      </c>
      <c r="H8" s="9">
        <v>1.3187307944148787E-3</v>
      </c>
      <c r="I8" s="9">
        <v>1.1856810631546495E-3</v>
      </c>
      <c r="J8" s="9">
        <v>2.1273514319368227E-3</v>
      </c>
      <c r="K8" s="9">
        <v>1.0657504627928549E-3</v>
      </c>
      <c r="N8" s="19"/>
      <c r="O8" s="19"/>
      <c r="P8" s="19"/>
      <c r="Q8" s="19"/>
      <c r="R8" s="19"/>
      <c r="S8" s="19"/>
    </row>
    <row r="9" spans="1:19" x14ac:dyDescent="0.2">
      <c r="A9" s="3">
        <v>2014</v>
      </c>
      <c r="B9" t="s">
        <v>28</v>
      </c>
      <c r="C9" s="9">
        <v>7.5797704503920036E-3</v>
      </c>
      <c r="D9" s="9">
        <v>1.4167094673938391E-2</v>
      </c>
      <c r="E9" s="9">
        <v>8.1486195414228191E-3</v>
      </c>
      <c r="F9" s="9">
        <v>4.351693301408599E-2</v>
      </c>
      <c r="G9" s="9">
        <v>1.6022003349566251E-2</v>
      </c>
      <c r="H9" s="9">
        <v>1.1066425535433055E-3</v>
      </c>
      <c r="I9" s="9">
        <v>9.0038862640180002E-4</v>
      </c>
      <c r="J9" s="9">
        <v>2.0262673138600469E-3</v>
      </c>
      <c r="K9" s="9">
        <v>9.4034333218952139E-4</v>
      </c>
      <c r="P9" s="2"/>
      <c r="Q9" s="3"/>
      <c r="R9" s="3"/>
      <c r="S9" s="3"/>
    </row>
    <row r="10" spans="1:19" x14ac:dyDescent="0.2">
      <c r="A10" s="3">
        <v>2014</v>
      </c>
      <c r="B10" t="s">
        <v>29</v>
      </c>
      <c r="C10" s="9">
        <v>5.671551189712974E-3</v>
      </c>
      <c r="D10" s="9">
        <v>1.0811935745321523E-2</v>
      </c>
      <c r="E10" s="9">
        <v>6.3336735593118657E-3</v>
      </c>
      <c r="F10" s="9">
        <v>3.3314719969853135E-2</v>
      </c>
      <c r="G10" s="9">
        <v>1.3198374393189766E-2</v>
      </c>
      <c r="H10" s="9">
        <v>7.1776183531135169E-4</v>
      </c>
      <c r="I10" s="9">
        <v>5.6514086947580895E-4</v>
      </c>
      <c r="J10" s="9">
        <v>1.2790909367932657E-3</v>
      </c>
      <c r="K10" s="9">
        <v>6.6635233016080803E-4</v>
      </c>
      <c r="N10" s="19"/>
      <c r="P10" s="10"/>
      <c r="Q10" s="10"/>
      <c r="R10" s="10"/>
      <c r="S10" s="1"/>
    </row>
    <row r="11" spans="1:19" x14ac:dyDescent="0.2">
      <c r="A11" s="3">
        <v>2014</v>
      </c>
      <c r="B11" t="s">
        <v>30</v>
      </c>
      <c r="C11" s="9">
        <v>3.5804515563564532E-3</v>
      </c>
      <c r="D11" s="9">
        <v>6.9773476564927205E-3</v>
      </c>
      <c r="E11" s="9">
        <v>3.999037076221062E-3</v>
      </c>
      <c r="F11" s="9">
        <v>2.1783918176354854E-2</v>
      </c>
      <c r="G11" s="9">
        <v>9.7769558410070578E-3</v>
      </c>
      <c r="H11" s="9">
        <v>3.7061338690493485E-4</v>
      </c>
      <c r="I11" s="9">
        <v>2.7253593991003475E-4</v>
      </c>
      <c r="J11" s="9">
        <v>7.1912490787777016E-4</v>
      </c>
      <c r="K11" s="9">
        <v>4.208891895135434E-4</v>
      </c>
      <c r="N11" s="19"/>
      <c r="P11" s="10"/>
      <c r="Q11" s="10"/>
      <c r="R11" s="10"/>
      <c r="S11" s="1"/>
    </row>
    <row r="12" spans="1:19" x14ac:dyDescent="0.2">
      <c r="A12" s="3">
        <v>2014</v>
      </c>
      <c r="B12" t="s">
        <v>31</v>
      </c>
      <c r="C12" s="9">
        <v>2.1205982571123206E-3</v>
      </c>
      <c r="D12" s="9">
        <v>4.2219744258522171E-3</v>
      </c>
      <c r="E12" s="9">
        <v>2.5171350759338193E-3</v>
      </c>
      <c r="F12" s="9">
        <v>1.2653718538837845E-2</v>
      </c>
      <c r="G12" s="9">
        <v>6.7977141216105505E-3</v>
      </c>
      <c r="H12" s="9">
        <v>1.9500139755497002E-4</v>
      </c>
      <c r="I12" s="9">
        <v>1.5019973379477321E-4</v>
      </c>
      <c r="J12" s="9">
        <v>3.741810639370918E-4</v>
      </c>
      <c r="K12" s="9">
        <v>2.5110997188890368E-4</v>
      </c>
      <c r="N12" s="19"/>
      <c r="P12" s="10"/>
      <c r="Q12" s="10"/>
      <c r="R12" s="10"/>
      <c r="S12" s="1"/>
    </row>
    <row r="13" spans="1:19" x14ac:dyDescent="0.2">
      <c r="A13" s="3">
        <v>2014</v>
      </c>
      <c r="B13" t="s">
        <v>32</v>
      </c>
      <c r="C13" s="9">
        <v>7.2153495962504048E-4</v>
      </c>
      <c r="D13" s="9">
        <v>1.5755692125733276E-3</v>
      </c>
      <c r="E13" s="9">
        <v>1.0853356858226289E-3</v>
      </c>
      <c r="F13" s="9">
        <v>4.1757661503921883E-3</v>
      </c>
      <c r="G13" s="9">
        <v>2.9922595063944556E-3</v>
      </c>
      <c r="H13" s="9">
        <v>4.7866397661321785E-5</v>
      </c>
      <c r="I13" s="9">
        <v>3.8153837224218961E-5</v>
      </c>
      <c r="J13" s="9">
        <v>7.707224245142425E-5</v>
      </c>
      <c r="K13" s="9">
        <v>7.0694451586658636E-5</v>
      </c>
      <c r="N13" s="19"/>
      <c r="P13" s="10"/>
      <c r="Q13" s="10"/>
      <c r="R13" s="10"/>
      <c r="S13" s="1"/>
    </row>
    <row r="14" spans="1:19" x14ac:dyDescent="0.2">
      <c r="A14">
        <v>2011</v>
      </c>
      <c r="B14" s="13" t="s">
        <v>33</v>
      </c>
      <c r="C14" s="12">
        <v>4.9199999999999999E-3</v>
      </c>
      <c r="D14" s="12">
        <v>9.3200000000000002E-3</v>
      </c>
      <c r="E14" s="12">
        <v>4.7800000000000004E-3</v>
      </c>
      <c r="F14" s="12">
        <v>3.023E-2</v>
      </c>
      <c r="G14" s="12">
        <v>1.238E-2</v>
      </c>
      <c r="H14" s="12">
        <v>6.4999999999999997E-4</v>
      </c>
      <c r="I14" s="12">
        <v>5.1000000000000004E-4</v>
      </c>
      <c r="J14" s="12">
        <v>1.2899999999999999E-3</v>
      </c>
      <c r="K14" s="12">
        <v>7.1000000000000002E-4</v>
      </c>
      <c r="N14" s="19"/>
      <c r="P14" s="10"/>
      <c r="Q14" s="10"/>
      <c r="R14" s="10"/>
      <c r="S14" s="1"/>
    </row>
    <row r="15" spans="1:19" x14ac:dyDescent="0.2">
      <c r="A15">
        <v>2011</v>
      </c>
      <c r="B15" t="s">
        <v>22</v>
      </c>
      <c r="C15" s="9">
        <v>2.5500000000000002E-3</v>
      </c>
      <c r="D15" s="9">
        <v>4.7499999999999999E-3</v>
      </c>
      <c r="E15" s="9">
        <v>1.66E-3</v>
      </c>
      <c r="F15" s="9">
        <v>1.5440000000000001E-2</v>
      </c>
      <c r="G15" s="9">
        <v>5.7400000000000003E-3</v>
      </c>
      <c r="H15" s="9">
        <v>2.1000000000000001E-4</v>
      </c>
      <c r="I15" s="9">
        <v>1.3999999999999999E-4</v>
      </c>
      <c r="J15" s="9">
        <v>4.0999999999999999E-4</v>
      </c>
      <c r="K15" s="9">
        <v>2.5000000000000001E-4</v>
      </c>
      <c r="N15" s="19"/>
      <c r="P15" s="10"/>
      <c r="Q15" s="10"/>
      <c r="R15" s="10"/>
      <c r="S15" s="1"/>
    </row>
    <row r="16" spans="1:19" x14ac:dyDescent="0.2">
      <c r="A16">
        <v>2011</v>
      </c>
      <c r="B16" t="s">
        <v>23</v>
      </c>
      <c r="C16" s="9">
        <v>8.5000000000000006E-3</v>
      </c>
      <c r="D16" s="9">
        <v>1.5610000000000001E-2</v>
      </c>
      <c r="E16" s="9">
        <v>7.1199999999999996E-3</v>
      </c>
      <c r="F16" s="9">
        <v>4.7019999999999999E-2</v>
      </c>
      <c r="G16" s="9">
        <v>1.898E-2</v>
      </c>
      <c r="H16" s="9">
        <v>1.06E-3</v>
      </c>
      <c r="I16" s="9">
        <v>8.4999999999999995E-4</v>
      </c>
      <c r="J16" s="9">
        <v>1.83E-3</v>
      </c>
      <c r="K16" s="9">
        <v>1.14E-3</v>
      </c>
    </row>
    <row r="17" spans="1:11" x14ac:dyDescent="0.2">
      <c r="A17">
        <v>2011</v>
      </c>
      <c r="B17" t="s">
        <v>24</v>
      </c>
      <c r="C17" s="9">
        <v>1.1820000000000001E-2</v>
      </c>
      <c r="D17" s="9">
        <v>2.1690000000000001E-2</v>
      </c>
      <c r="E17" s="9">
        <v>1.074E-2</v>
      </c>
      <c r="F17" s="9">
        <v>6.8830000000000002E-2</v>
      </c>
      <c r="G17" s="9">
        <v>2.666E-2</v>
      </c>
      <c r="H17" s="9">
        <v>1.7099999999999999E-3</v>
      </c>
      <c r="I17" s="9">
        <v>1.4400000000000001E-3</v>
      </c>
      <c r="J17" s="9">
        <v>3.0000000000000001E-3</v>
      </c>
      <c r="K17" s="9">
        <v>1.7700000000000001E-3</v>
      </c>
    </row>
    <row r="18" spans="1:11" x14ac:dyDescent="0.2">
      <c r="A18">
        <v>2011</v>
      </c>
      <c r="B18" t="s">
        <v>25</v>
      </c>
      <c r="C18" s="9">
        <v>1.23E-2</v>
      </c>
      <c r="D18" s="9">
        <v>2.2780000000000002E-2</v>
      </c>
      <c r="E18" s="9">
        <v>1.115E-2</v>
      </c>
      <c r="F18" s="9">
        <v>7.5170000000000001E-2</v>
      </c>
      <c r="G18" s="9">
        <v>2.7619999999999999E-2</v>
      </c>
      <c r="H18" s="9">
        <v>1.75E-3</v>
      </c>
      <c r="I18" s="9">
        <v>1.5100000000000001E-3</v>
      </c>
      <c r="J18" s="9">
        <v>3.13E-3</v>
      </c>
      <c r="K18" s="9">
        <v>1.6900000000000001E-3</v>
      </c>
    </row>
    <row r="19" spans="1:11" x14ac:dyDescent="0.2">
      <c r="A19">
        <v>2011</v>
      </c>
      <c r="B19" t="s">
        <v>26</v>
      </c>
      <c r="C19" s="9">
        <v>1.089E-2</v>
      </c>
      <c r="D19" s="9">
        <v>2.0289999999999999E-2</v>
      </c>
      <c r="E19" s="9">
        <v>1.0489999999999999E-2</v>
      </c>
      <c r="F19" s="9">
        <v>6.6030000000000005E-2</v>
      </c>
      <c r="G19" s="9">
        <v>2.46E-2</v>
      </c>
      <c r="H19" s="9">
        <v>1.56E-3</v>
      </c>
      <c r="I19" s="9">
        <v>1.3600000000000001E-3</v>
      </c>
      <c r="J19" s="9">
        <v>2.8600000000000001E-3</v>
      </c>
      <c r="K19" s="9">
        <v>1.42E-3</v>
      </c>
    </row>
    <row r="20" spans="1:11" x14ac:dyDescent="0.2">
      <c r="A20">
        <v>2011</v>
      </c>
      <c r="B20" t="s">
        <v>27</v>
      </c>
      <c r="C20" s="9">
        <v>9.1900000000000003E-3</v>
      </c>
      <c r="D20" s="9">
        <v>1.7069999999999998E-2</v>
      </c>
      <c r="E20" s="9">
        <v>9.4900000000000002E-3</v>
      </c>
      <c r="F20" s="9">
        <v>5.45E-2</v>
      </c>
      <c r="G20" s="9">
        <v>2.0840000000000001E-2</v>
      </c>
      <c r="H20" s="9">
        <v>1.3799999999999999E-3</v>
      </c>
      <c r="I20" s="9">
        <v>1.1000000000000001E-3</v>
      </c>
      <c r="J20" s="9">
        <v>2.7399999999999998E-3</v>
      </c>
      <c r="K20" s="9">
        <v>1.3799999999999999E-3</v>
      </c>
    </row>
    <row r="21" spans="1:11" x14ac:dyDescent="0.2">
      <c r="A21">
        <v>2011</v>
      </c>
      <c r="B21" t="s">
        <v>28</v>
      </c>
      <c r="C21" s="9">
        <v>7.77E-3</v>
      </c>
      <c r="D21" s="9">
        <v>1.4590000000000001E-2</v>
      </c>
      <c r="E21" s="9">
        <v>8.3400000000000002E-3</v>
      </c>
      <c r="F21" s="9">
        <v>4.6039999999999998E-2</v>
      </c>
      <c r="G21" s="9">
        <v>1.83E-2</v>
      </c>
      <c r="H21" s="9">
        <v>1.1000000000000001E-3</v>
      </c>
      <c r="I21" s="9">
        <v>8.4999999999999995E-4</v>
      </c>
      <c r="J21" s="9">
        <v>2.2599999999999999E-3</v>
      </c>
      <c r="K21" s="9">
        <v>1.07E-3</v>
      </c>
    </row>
    <row r="22" spans="1:11" x14ac:dyDescent="0.2">
      <c r="A22">
        <v>2011</v>
      </c>
      <c r="B22" t="s">
        <v>29</v>
      </c>
      <c r="C22" s="9">
        <v>5.2300000000000003E-3</v>
      </c>
      <c r="D22" s="9">
        <v>9.9900000000000006E-3</v>
      </c>
      <c r="E22" s="9">
        <v>5.6499999999999996E-3</v>
      </c>
      <c r="F22" s="9">
        <v>3.2570000000000002E-2</v>
      </c>
      <c r="G22" s="9">
        <v>1.4019999999999999E-2</v>
      </c>
      <c r="H22" s="9">
        <v>6.4000000000000005E-4</v>
      </c>
      <c r="I22" s="9">
        <v>4.6000000000000001E-4</v>
      </c>
      <c r="J22" s="9">
        <v>1.4300000000000001E-3</v>
      </c>
      <c r="K22" s="9">
        <v>7.3999999999999999E-4</v>
      </c>
    </row>
    <row r="23" spans="1:11" x14ac:dyDescent="0.2">
      <c r="A23">
        <v>2011</v>
      </c>
      <c r="B23" t="s">
        <v>30</v>
      </c>
      <c r="C23" s="9">
        <v>3.0699999999999998E-3</v>
      </c>
      <c r="D23" s="9">
        <v>6.0099999999999997E-3</v>
      </c>
      <c r="E23" s="9">
        <v>3.4499999999999999E-3</v>
      </c>
      <c r="F23" s="9">
        <v>1.9990000000000001E-2</v>
      </c>
      <c r="G23" s="9">
        <v>9.9000000000000008E-3</v>
      </c>
      <c r="H23" s="9">
        <v>3.1E-4</v>
      </c>
      <c r="I23" s="9">
        <v>2.2000000000000001E-4</v>
      </c>
      <c r="J23" s="9">
        <v>6.6E-4</v>
      </c>
      <c r="K23" s="9">
        <v>4.4000000000000002E-4</v>
      </c>
    </row>
    <row r="24" spans="1:11" x14ac:dyDescent="0.2">
      <c r="A24">
        <v>2011</v>
      </c>
      <c r="B24" t="s">
        <v>31</v>
      </c>
      <c r="C24" s="9">
        <v>1.82E-3</v>
      </c>
      <c r="D24" s="9">
        <v>3.64E-3</v>
      </c>
      <c r="E24" s="9">
        <v>2.3E-3</v>
      </c>
      <c r="F24" s="9">
        <v>1.125E-2</v>
      </c>
      <c r="G24" s="9">
        <v>6.8500000000000002E-3</v>
      </c>
      <c r="H24" s="9">
        <v>1.4999999999999999E-4</v>
      </c>
      <c r="I24" s="9">
        <v>1.2E-4</v>
      </c>
      <c r="J24" s="9">
        <v>2.9999999999999997E-4</v>
      </c>
      <c r="K24" s="9">
        <v>2.3000000000000001E-4</v>
      </c>
    </row>
    <row r="25" spans="1:11" x14ac:dyDescent="0.2">
      <c r="A25">
        <v>2011</v>
      </c>
      <c r="B25" t="s">
        <v>32</v>
      </c>
      <c r="C25" s="9">
        <v>6.2E-4</v>
      </c>
      <c r="D25" s="9">
        <v>1.3699999999999999E-3</v>
      </c>
      <c r="E25" s="9">
        <v>9.5E-4</v>
      </c>
      <c r="F25" s="9">
        <v>4.0899999999999999E-3</v>
      </c>
      <c r="G25" s="9">
        <v>2.8600000000000001E-3</v>
      </c>
      <c r="H25" s="9">
        <v>4.0000000000000003E-5</v>
      </c>
      <c r="I25" s="9">
        <v>3.0000000000000001E-5</v>
      </c>
      <c r="J25" s="9">
        <v>6.9999999999999994E-5</v>
      </c>
      <c r="K25" s="9">
        <v>6.9999999999999994E-5</v>
      </c>
    </row>
    <row r="26" spans="1:11" x14ac:dyDescent="0.2">
      <c r="A26" s="3">
        <v>2019</v>
      </c>
      <c r="B26" s="11" t="s">
        <v>33</v>
      </c>
      <c r="C26" s="12">
        <v>4.1900000000000001E-3</v>
      </c>
      <c r="D26" s="12">
        <v>7.8899999999999994E-3</v>
      </c>
      <c r="E26" s="12">
        <v>3.8500000000000001E-3</v>
      </c>
      <c r="F26" s="12">
        <v>2.2030000000000001E-2</v>
      </c>
      <c r="G26" s="12">
        <v>9.7900000000000001E-3</v>
      </c>
      <c r="H26" s="12">
        <v>6.0999999999999997E-4</v>
      </c>
      <c r="I26" s="12">
        <v>4.8000000000000001E-4</v>
      </c>
      <c r="J26" s="12">
        <v>8.3000000000000001E-4</v>
      </c>
      <c r="K26" s="12">
        <v>6.3000000000000003E-4</v>
      </c>
    </row>
    <row r="27" spans="1:11" x14ac:dyDescent="0.2">
      <c r="A27" s="3">
        <v>2019</v>
      </c>
      <c r="B27" s="15">
        <v>18.5</v>
      </c>
      <c r="C27" s="9">
        <v>1.07E-3</v>
      </c>
      <c r="D27" s="9">
        <v>2.0100000000000001E-3</v>
      </c>
      <c r="E27" s="9">
        <v>5.8E-4</v>
      </c>
      <c r="F27" s="9">
        <v>7.1999999999999998E-3</v>
      </c>
      <c r="G27" s="9">
        <v>1.8799999999999999E-3</v>
      </c>
      <c r="H27" s="9">
        <v>1E-4</v>
      </c>
      <c r="I27" s="9">
        <v>6.0000000000000002E-5</v>
      </c>
      <c r="J27" s="9">
        <v>2.0000000000000001E-4</v>
      </c>
      <c r="K27" s="9">
        <v>1.2E-4</v>
      </c>
    </row>
    <row r="28" spans="1:11" x14ac:dyDescent="0.2">
      <c r="A28" s="3">
        <v>2019</v>
      </c>
      <c r="B28" s="7">
        <v>22</v>
      </c>
      <c r="C28" s="9">
        <v>5.1999999999999998E-3</v>
      </c>
      <c r="D28" s="9">
        <v>9.4900000000000002E-3</v>
      </c>
      <c r="E28" s="9">
        <v>3.47E-3</v>
      </c>
      <c r="F28" s="9">
        <v>2.7720000000000002E-2</v>
      </c>
      <c r="G28" s="9">
        <v>1.1050000000000001E-2</v>
      </c>
      <c r="H28" s="9">
        <v>7.1000000000000002E-4</v>
      </c>
      <c r="I28" s="9">
        <v>4.8999999999999998E-4</v>
      </c>
      <c r="J28" s="9">
        <v>1.16E-3</v>
      </c>
      <c r="K28" s="9">
        <v>7.7999999999999999E-4</v>
      </c>
    </row>
    <row r="29" spans="1:11" x14ac:dyDescent="0.2">
      <c r="A29" s="3">
        <v>2019</v>
      </c>
      <c r="B29" s="7">
        <v>27</v>
      </c>
      <c r="C29" s="9">
        <v>9.0699999999999999E-3</v>
      </c>
      <c r="D29" s="9">
        <v>1.6330000000000001E-2</v>
      </c>
      <c r="E29" s="9">
        <v>7.0699999999999999E-3</v>
      </c>
      <c r="F29" s="9">
        <v>4.1579999999999999E-2</v>
      </c>
      <c r="G29" s="9">
        <v>1.9570000000000001E-2</v>
      </c>
      <c r="H29" s="9">
        <v>1.49E-3</v>
      </c>
      <c r="I29" s="9">
        <v>1.1999999999999999E-3</v>
      </c>
      <c r="J29" s="9">
        <v>1.8600000000000001E-3</v>
      </c>
      <c r="K29" s="9">
        <v>1.5E-3</v>
      </c>
    </row>
    <row r="30" spans="1:11" x14ac:dyDescent="0.2">
      <c r="A30" s="3">
        <v>2019</v>
      </c>
      <c r="B30" s="7">
        <v>32</v>
      </c>
      <c r="C30" s="9">
        <v>9.8799999999999999E-3</v>
      </c>
      <c r="D30" s="9">
        <v>1.7760000000000001E-2</v>
      </c>
      <c r="E30" s="9">
        <v>8.9099999999999995E-3</v>
      </c>
      <c r="F30" s="9">
        <v>4.496E-2</v>
      </c>
      <c r="G30" s="9">
        <v>2.1559999999999999E-2</v>
      </c>
      <c r="H30" s="9">
        <v>1.7799999999999999E-3</v>
      </c>
      <c r="I30" s="9">
        <v>1.56E-3</v>
      </c>
      <c r="J30" s="9">
        <v>1.99E-3</v>
      </c>
      <c r="K30" s="9">
        <v>1.7799999999999999E-3</v>
      </c>
    </row>
    <row r="31" spans="1:11" x14ac:dyDescent="0.2">
      <c r="A31" s="3">
        <v>2019</v>
      </c>
      <c r="B31" s="7">
        <v>37</v>
      </c>
      <c r="C31" s="9">
        <v>0.01</v>
      </c>
      <c r="D31" s="9">
        <v>1.8290000000000001E-2</v>
      </c>
      <c r="E31" s="9">
        <v>9.58E-3</v>
      </c>
      <c r="F31" s="9">
        <v>4.8320000000000002E-2</v>
      </c>
      <c r="G31" s="9">
        <v>2.181E-2</v>
      </c>
      <c r="H31" s="9">
        <v>1.6900000000000001E-3</v>
      </c>
      <c r="I31" s="9">
        <v>1.48E-3</v>
      </c>
      <c r="J31" s="9">
        <v>1.8699999999999999E-3</v>
      </c>
      <c r="K31" s="9">
        <v>1.64E-3</v>
      </c>
    </row>
    <row r="32" spans="1:11" x14ac:dyDescent="0.2">
      <c r="A32" s="3">
        <v>2019</v>
      </c>
      <c r="B32" s="7">
        <v>42</v>
      </c>
      <c r="C32" s="9">
        <v>8.5400000000000007E-3</v>
      </c>
      <c r="D32" s="9">
        <v>1.5900000000000001E-2</v>
      </c>
      <c r="E32" s="9">
        <v>8.2100000000000003E-3</v>
      </c>
      <c r="F32" s="9">
        <v>4.3339999999999997E-2</v>
      </c>
      <c r="G32" s="9">
        <v>1.8769999999999998E-2</v>
      </c>
      <c r="H32" s="9">
        <v>1.2600000000000001E-3</v>
      </c>
      <c r="I32" s="9">
        <v>1.1000000000000001E-3</v>
      </c>
      <c r="J32" s="9">
        <v>1.5100000000000001E-3</v>
      </c>
      <c r="K32" s="9">
        <v>1.14E-3</v>
      </c>
    </row>
    <row r="33" spans="1:11" x14ac:dyDescent="0.2">
      <c r="A33" s="3">
        <v>2019</v>
      </c>
      <c r="B33" s="7">
        <v>47</v>
      </c>
      <c r="C33" s="9">
        <v>6.8999999999999999E-3</v>
      </c>
      <c r="D33" s="9">
        <v>1.299E-2</v>
      </c>
      <c r="E33" s="9">
        <v>6.96E-3</v>
      </c>
      <c r="F33" s="9">
        <v>3.5529999999999999E-2</v>
      </c>
      <c r="G33" s="9">
        <v>1.4999999999999999E-2</v>
      </c>
      <c r="H33" s="9">
        <v>9.5E-4</v>
      </c>
      <c r="I33" s="9">
        <v>8.3000000000000001E-4</v>
      </c>
      <c r="J33" s="9">
        <v>1.2800000000000001E-3</v>
      </c>
      <c r="K33" s="9">
        <v>8.1999999999999998E-4</v>
      </c>
    </row>
    <row r="34" spans="1:11" x14ac:dyDescent="0.2">
      <c r="A34" s="3">
        <v>2019</v>
      </c>
      <c r="B34" s="7">
        <v>54</v>
      </c>
      <c r="C34" s="9">
        <v>5.5100000000000001E-3</v>
      </c>
      <c r="D34" s="9">
        <v>1.0460000000000001E-2</v>
      </c>
      <c r="E34" s="9">
        <v>5.6100000000000004E-3</v>
      </c>
      <c r="F34" s="9">
        <v>2.9700000000000001E-2</v>
      </c>
      <c r="G34" s="9">
        <v>1.21E-2</v>
      </c>
      <c r="H34" s="9">
        <v>6.9999999999999999E-4</v>
      </c>
      <c r="I34" s="9">
        <v>5.4000000000000001E-4</v>
      </c>
      <c r="J34" s="9">
        <v>1.1000000000000001E-3</v>
      </c>
      <c r="K34" s="9">
        <v>6.4000000000000005E-4</v>
      </c>
    </row>
    <row r="35" spans="1:11" x14ac:dyDescent="0.2">
      <c r="A35" s="3">
        <v>2019</v>
      </c>
      <c r="B35" s="7">
        <v>57</v>
      </c>
      <c r="C35" s="9">
        <v>3.98E-3</v>
      </c>
      <c r="D35" s="9">
        <v>7.7400000000000004E-3</v>
      </c>
      <c r="E35" s="9">
        <v>4.1799999999999997E-3</v>
      </c>
      <c r="F35" s="9">
        <v>2.2270000000000002E-2</v>
      </c>
      <c r="G35" s="9">
        <v>9.7199999999999995E-3</v>
      </c>
      <c r="H35" s="9">
        <v>4.2000000000000002E-4</v>
      </c>
      <c r="I35" s="9">
        <v>3.2000000000000003E-4</v>
      </c>
      <c r="J35" s="9">
        <v>6.8000000000000005E-4</v>
      </c>
      <c r="K35" s="9">
        <v>4.2000000000000002E-4</v>
      </c>
    </row>
    <row r="36" spans="1:11" x14ac:dyDescent="0.2">
      <c r="A36" s="3">
        <v>2019</v>
      </c>
      <c r="B36" s="7">
        <v>62</v>
      </c>
      <c r="C36" s="9">
        <v>2.4199999999999998E-3</v>
      </c>
      <c r="D36" s="9">
        <v>4.8300000000000001E-3</v>
      </c>
      <c r="E36" s="9">
        <v>2.5400000000000002E-3</v>
      </c>
      <c r="F36" s="9">
        <v>1.404E-2</v>
      </c>
      <c r="G36" s="9">
        <v>7.0499999999999998E-3</v>
      </c>
      <c r="H36" s="9">
        <v>2.0000000000000001E-4</v>
      </c>
      <c r="I36" s="9">
        <v>1.3999999999999999E-4</v>
      </c>
      <c r="J36" s="9">
        <v>3.2000000000000003E-4</v>
      </c>
      <c r="K36" s="9">
        <v>2.0000000000000001E-4</v>
      </c>
    </row>
    <row r="37" spans="1:11" x14ac:dyDescent="0.2">
      <c r="A37" s="3">
        <v>2019</v>
      </c>
      <c r="B37" s="7">
        <v>67</v>
      </c>
      <c r="C37" s="9">
        <v>8.0999999999999996E-4</v>
      </c>
      <c r="D37" s="9">
        <v>1.75E-3</v>
      </c>
      <c r="E37" s="9">
        <v>1.01E-3</v>
      </c>
      <c r="F37" s="9">
        <v>4.8500000000000001E-3</v>
      </c>
      <c r="G37" s="9">
        <v>3.1700000000000001E-3</v>
      </c>
      <c r="H37" s="9">
        <v>5.0000000000000002E-5</v>
      </c>
      <c r="I37" s="9">
        <v>4.0000000000000003E-5</v>
      </c>
      <c r="J37" s="9">
        <v>9.0000000000000006E-5</v>
      </c>
      <c r="K37" s="9">
        <v>6.0000000000000002E-5</v>
      </c>
    </row>
    <row r="38" spans="1:11" x14ac:dyDescent="0.2">
      <c r="B38" s="14"/>
    </row>
    <row r="39" spans="1:11" x14ac:dyDescent="0.2">
      <c r="B39" s="14"/>
    </row>
    <row r="40" spans="1:11" x14ac:dyDescent="0.2">
      <c r="B40" s="14"/>
    </row>
  </sheetData>
  <mergeCells count="4">
    <mergeCell ref="N8:S8"/>
    <mergeCell ref="N10:N11"/>
    <mergeCell ref="N12:N13"/>
    <mergeCell ref="N14:N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3943-EBB4-A342-8AB6-5B173945C40E}">
  <dimension ref="A1"/>
  <sheetViews>
    <sheetView workbookViewId="0">
      <selection activeCell="A8" sqref="A8"/>
    </sheetView>
  </sheetViews>
  <sheetFormatPr baseColWidth="10" defaultRowHeight="15" x14ac:dyDescent="0.2"/>
  <cols>
    <col min="1" max="1" width="66.6640625" customWidth="1"/>
  </cols>
  <sheetData>
    <row r="1" spans="1:1" x14ac:dyDescent="0.2">
      <c r="A1" s="1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8663-F914-5D44-B4E7-12A52BC54B78}">
  <dimension ref="A1:F8"/>
  <sheetViews>
    <sheetView workbookViewId="0">
      <selection activeCell="H32" sqref="H32"/>
    </sheetView>
  </sheetViews>
  <sheetFormatPr baseColWidth="10" defaultRowHeight="15" x14ac:dyDescent="0.2"/>
  <sheetData>
    <row r="1" spans="1:6" x14ac:dyDescent="0.2">
      <c r="A1" s="20" t="s">
        <v>9</v>
      </c>
      <c r="B1" s="20"/>
      <c r="C1" s="20"/>
      <c r="D1" s="20"/>
      <c r="E1" s="20"/>
      <c r="F1" s="20"/>
    </row>
    <row r="2" spans="1:6" x14ac:dyDescent="0.2">
      <c r="A2" s="16"/>
      <c r="B2" s="16"/>
      <c r="C2" s="17">
        <v>1980</v>
      </c>
      <c r="D2" s="17">
        <v>1990</v>
      </c>
      <c r="E2" s="17">
        <v>2000</v>
      </c>
      <c r="F2" s="17">
        <v>2010</v>
      </c>
    </row>
    <row r="3" spans="1:6" x14ac:dyDescent="0.2">
      <c r="A3" s="20" t="s">
        <v>0</v>
      </c>
      <c r="B3" s="16" t="s">
        <v>3</v>
      </c>
      <c r="C3" s="18">
        <v>6.9500000000000006E-2</v>
      </c>
      <c r="D3" s="18">
        <v>5.4199999999999998E-2</v>
      </c>
      <c r="E3" s="18">
        <v>6.4500000000000002E-2</v>
      </c>
      <c r="F3" s="18">
        <v>2.3699999999999999E-2</v>
      </c>
    </row>
    <row r="4" spans="1:6" x14ac:dyDescent="0.2">
      <c r="A4" s="20"/>
      <c r="B4" s="16" t="s">
        <v>4</v>
      </c>
      <c r="C4" s="16">
        <v>0</v>
      </c>
      <c r="D4" s="18">
        <v>3.0000000000000001E-3</v>
      </c>
      <c r="E4" s="18">
        <v>2.3999999999999998E-3</v>
      </c>
      <c r="F4" s="18">
        <v>1.6999999999999999E-3</v>
      </c>
    </row>
    <row r="5" spans="1:6" x14ac:dyDescent="0.2">
      <c r="A5" s="20" t="s">
        <v>1</v>
      </c>
      <c r="B5" s="16" t="s">
        <v>3</v>
      </c>
      <c r="C5" s="18">
        <v>3.2099999999999997E-2</v>
      </c>
      <c r="D5" s="18">
        <v>1.6400000000000001E-2</v>
      </c>
      <c r="E5" s="18">
        <v>2.4E-2</v>
      </c>
      <c r="F5" s="18">
        <v>5.7999999999999996E-3</v>
      </c>
    </row>
    <row r="6" spans="1:6" x14ac:dyDescent="0.2">
      <c r="A6" s="20"/>
      <c r="B6" s="16" t="s">
        <v>4</v>
      </c>
      <c r="C6" s="16">
        <v>0</v>
      </c>
      <c r="D6" s="18">
        <v>4.5999999999999999E-3</v>
      </c>
      <c r="E6" s="18">
        <v>2.5999999999999999E-3</v>
      </c>
      <c r="F6" s="18">
        <v>1.2999999999999999E-3</v>
      </c>
    </row>
    <row r="7" spans="1:6" x14ac:dyDescent="0.2">
      <c r="A7" s="20" t="s">
        <v>2</v>
      </c>
      <c r="B7" s="16" t="s">
        <v>3</v>
      </c>
      <c r="C7" s="18">
        <v>1.5299999999999999E-2</v>
      </c>
      <c r="D7" s="18">
        <v>1.2500000000000001E-2</v>
      </c>
      <c r="E7" s="18">
        <v>9.5999999999999992E-3</v>
      </c>
      <c r="F7" s="18">
        <v>6.6E-3</v>
      </c>
    </row>
    <row r="8" spans="1:6" x14ac:dyDescent="0.2">
      <c r="A8" s="20"/>
      <c r="B8" s="16" t="s">
        <v>4</v>
      </c>
      <c r="C8" s="16">
        <v>0</v>
      </c>
      <c r="D8" s="18">
        <v>5.9999999999999995E-4</v>
      </c>
      <c r="E8" s="18">
        <v>1E-3</v>
      </c>
      <c r="F8" s="18">
        <v>5.0000000000000001E-4</v>
      </c>
    </row>
  </sheetData>
  <mergeCells count="4">
    <mergeCell ref="A1:F1"/>
    <mergeCell ref="A3:A4"/>
    <mergeCell ref="A5:A6"/>
    <mergeCell ref="A7:A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47E9-4B13-654A-A0EB-5D5C0FB85C62}">
  <dimension ref="A1:F11"/>
  <sheetViews>
    <sheetView workbookViewId="0">
      <selection activeCell="R6" sqref="R6"/>
    </sheetView>
  </sheetViews>
  <sheetFormatPr baseColWidth="10" defaultRowHeight="15" x14ac:dyDescent="0.2"/>
  <sheetData>
    <row r="1" spans="1:6" x14ac:dyDescent="0.2">
      <c r="A1" s="19" t="s">
        <v>8</v>
      </c>
      <c r="B1" s="19"/>
      <c r="C1" s="19"/>
      <c r="D1" s="19"/>
      <c r="E1" s="19"/>
      <c r="F1" s="19"/>
    </row>
    <row r="2" spans="1:6" x14ac:dyDescent="0.2">
      <c r="C2">
        <v>1980</v>
      </c>
      <c r="D2">
        <v>1990</v>
      </c>
      <c r="E2">
        <v>2000</v>
      </c>
      <c r="F2">
        <v>2010</v>
      </c>
    </row>
    <row r="3" spans="1:6" x14ac:dyDescent="0.2">
      <c r="A3" s="19" t="s">
        <v>0</v>
      </c>
      <c r="B3" t="s">
        <v>5</v>
      </c>
      <c r="C3" s="4">
        <v>4.7393364928909956E-3</v>
      </c>
      <c r="D3" s="1">
        <v>8.0482897384305842E-3</v>
      </c>
      <c r="E3" s="1">
        <v>1.9102196752626553E-2</v>
      </c>
      <c r="F3" s="1">
        <v>5.893909626719057E-3</v>
      </c>
    </row>
    <row r="4" spans="1:6" x14ac:dyDescent="0.2">
      <c r="A4" s="19"/>
      <c r="B4" t="s">
        <v>6</v>
      </c>
      <c r="C4" s="4">
        <v>3.8155802861685212E-2</v>
      </c>
      <c r="D4" s="1">
        <v>3.7644201578627808E-2</v>
      </c>
      <c r="E4" s="1">
        <v>4.1075429424943986E-2</v>
      </c>
      <c r="F4" s="1">
        <v>1.7214397496087636E-2</v>
      </c>
    </row>
    <row r="5" spans="1:6" x14ac:dyDescent="0.2">
      <c r="A5" s="19"/>
      <c r="B5" t="s">
        <v>7</v>
      </c>
      <c r="C5" s="4">
        <v>0.14285714285714285</v>
      </c>
      <c r="D5" s="1">
        <v>8.2191780821917804E-2</v>
      </c>
      <c r="E5" s="1">
        <v>0.08</v>
      </c>
      <c r="F5" s="1">
        <v>2.0833333333333332E-2</v>
      </c>
    </row>
    <row r="6" spans="1:6" x14ac:dyDescent="0.2">
      <c r="A6" s="19" t="s">
        <v>1</v>
      </c>
      <c r="B6" t="s">
        <v>5</v>
      </c>
      <c r="C6" s="1">
        <v>8.8495575221238937E-3</v>
      </c>
      <c r="D6" s="1">
        <v>3.552397868561279E-3</v>
      </c>
      <c r="E6" s="1">
        <v>4.4510385756676559E-3</v>
      </c>
      <c r="F6" s="1">
        <v>1.7452006980802793E-3</v>
      </c>
    </row>
    <row r="7" spans="1:6" x14ac:dyDescent="0.2">
      <c r="A7" s="19"/>
      <c r="B7" t="s">
        <v>6</v>
      </c>
      <c r="C7" s="1">
        <v>1.4577259475218658E-2</v>
      </c>
      <c r="D7" s="1">
        <v>1.5655577299412915E-2</v>
      </c>
      <c r="E7" s="1">
        <v>1.8567639257294429E-2</v>
      </c>
      <c r="F7" s="1">
        <v>5.2287581699346402E-3</v>
      </c>
    </row>
    <row r="8" spans="1:6" x14ac:dyDescent="0.2">
      <c r="A8" s="19"/>
      <c r="B8" t="s">
        <v>7</v>
      </c>
      <c r="C8" s="1">
        <v>2.247191011235955E-2</v>
      </c>
      <c r="D8" s="1">
        <v>0</v>
      </c>
      <c r="E8" s="1">
        <v>2.9411764705882353E-2</v>
      </c>
      <c r="F8" s="1">
        <v>0</v>
      </c>
    </row>
    <row r="9" spans="1:6" x14ac:dyDescent="0.2">
      <c r="A9" s="19" t="s">
        <v>2</v>
      </c>
      <c r="B9" t="s">
        <v>5</v>
      </c>
      <c r="C9" s="1">
        <v>2.2123893805309734E-3</v>
      </c>
      <c r="D9" s="1">
        <v>1.1723329425556857E-3</v>
      </c>
      <c r="E9" s="1">
        <v>1.9020446980504042E-3</v>
      </c>
      <c r="F9" s="1">
        <v>1.0335917312661498E-3</v>
      </c>
    </row>
    <row r="10" spans="1:6" x14ac:dyDescent="0.2">
      <c r="A10" s="19"/>
      <c r="B10" t="s">
        <v>6</v>
      </c>
      <c r="C10" s="1">
        <v>9.6525096525096523E-3</v>
      </c>
      <c r="D10" s="1">
        <v>9.7056981840951788E-3</v>
      </c>
      <c r="E10" s="1">
        <v>8.4880636604774528E-3</v>
      </c>
      <c r="F10" s="1">
        <v>6.3510392609699767E-3</v>
      </c>
    </row>
    <row r="11" spans="1:6" x14ac:dyDescent="0.2">
      <c r="A11" s="19"/>
      <c r="B11" t="s">
        <v>7</v>
      </c>
      <c r="C11" s="1">
        <v>3.6036036036036036E-2</v>
      </c>
      <c r="D11" s="1">
        <v>1.4150943396226415E-2</v>
      </c>
      <c r="E11" s="1">
        <v>1.4084507042253521E-2</v>
      </c>
      <c r="F11" s="1">
        <v>0</v>
      </c>
    </row>
  </sheetData>
  <mergeCells count="4">
    <mergeCell ref="A3:A5"/>
    <mergeCell ref="A6:A8"/>
    <mergeCell ref="A9:A11"/>
    <mergeCell ref="A1:F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A090-4CC7-2B46-B092-D24600B50A6F}">
  <dimension ref="A2:D9"/>
  <sheetViews>
    <sheetView tabSelected="1" workbookViewId="0">
      <selection activeCell="I31" sqref="I31"/>
    </sheetView>
  </sheetViews>
  <sheetFormatPr baseColWidth="10" defaultRowHeight="15" x14ac:dyDescent="0.2"/>
  <sheetData>
    <row r="2" spans="1:4" x14ac:dyDescent="0.2">
      <c r="A2" s="19" t="s">
        <v>12</v>
      </c>
      <c r="B2" s="19"/>
      <c r="C2" s="19"/>
      <c r="D2" s="19"/>
    </row>
    <row r="3" spans="1:4" x14ac:dyDescent="0.2">
      <c r="C3" t="s">
        <v>11</v>
      </c>
      <c r="D3" t="s">
        <v>10</v>
      </c>
    </row>
    <row r="4" spans="1:4" x14ac:dyDescent="0.2">
      <c r="A4" s="19">
        <v>1980</v>
      </c>
      <c r="B4" s="5" t="s">
        <v>0</v>
      </c>
      <c r="C4">
        <v>9943.7272727272721</v>
      </c>
      <c r="D4">
        <v>9775.7985507246376</v>
      </c>
    </row>
    <row r="5" spans="1:4" x14ac:dyDescent="0.2">
      <c r="A5" s="19"/>
      <c r="B5" s="5" t="s">
        <v>1</v>
      </c>
      <c r="C5">
        <v>12500</v>
      </c>
      <c r="D5">
        <v>10549.188505747126</v>
      </c>
    </row>
    <row r="6" spans="1:4" x14ac:dyDescent="0.2">
      <c r="A6" s="19"/>
      <c r="B6" s="5" t="s">
        <v>2</v>
      </c>
      <c r="C6">
        <v>13781.4</v>
      </c>
      <c r="D6">
        <v>12641.680193596427</v>
      </c>
    </row>
    <row r="7" spans="1:4" x14ac:dyDescent="0.2">
      <c r="A7" s="19">
        <v>2000</v>
      </c>
      <c r="B7" s="5" t="s">
        <v>0</v>
      </c>
      <c r="C7">
        <v>4221.7974683544307</v>
      </c>
      <c r="D7">
        <v>29548.778107764108</v>
      </c>
    </row>
    <row r="8" spans="1:4" x14ac:dyDescent="0.2">
      <c r="A8" s="19"/>
      <c r="B8" s="5" t="s">
        <v>1</v>
      </c>
      <c r="C8">
        <v>3579.4</v>
      </c>
      <c r="D8">
        <v>40865.353835978836</v>
      </c>
    </row>
    <row r="9" spans="1:4" x14ac:dyDescent="0.2">
      <c r="A9" s="19"/>
      <c r="B9" s="5" t="s">
        <v>2</v>
      </c>
      <c r="C9">
        <v>5883</v>
      </c>
      <c r="D9">
        <v>55484.625402327307</v>
      </c>
    </row>
  </sheetData>
  <mergeCells count="3">
    <mergeCell ref="A2:D2"/>
    <mergeCell ref="A4:A6"/>
    <mergeCell ref="A7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2</vt:lpstr>
      <vt:lpstr>Figure 3</vt:lpstr>
      <vt:lpstr>Figure 4</vt:lpstr>
      <vt:lpstr>Figure 5</vt:lpstr>
      <vt:lpstr>Figure 6</vt:lpstr>
      <vt:lpstr>Figure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 Taneja</dc:creator>
  <cp:lastModifiedBy>Arz Taneja</cp:lastModifiedBy>
  <dcterms:created xsi:type="dcterms:W3CDTF">2024-01-26T09:33:48Z</dcterms:created>
  <dcterms:modified xsi:type="dcterms:W3CDTF">2025-03-14T09:40:55Z</dcterms:modified>
</cp:coreProperties>
</file>